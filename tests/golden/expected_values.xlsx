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sengul/Programming/AI Engineering/Finance/Korrekte_Versionen/AGENTIC_FINANCE/tests/golden/"/>
    </mc:Choice>
  </mc:AlternateContent>
  <xr:revisionPtr revIDLastSave="0" documentId="11_4464C08E516B617D95FA6A2A9A348500118299AE" xr6:coauthVersionLast="47" xr6:coauthVersionMax="47" xr10:uidLastSave="{00000000-0000-0000-0000-000000000000}"/>
  <bookViews>
    <workbookView xWindow="0" yWindow="660" windowWidth="29400" windowHeight="18460" tabRatio="500" activeTab="9" xr2:uid="{00000000-000D-0000-FFFF-FFFF00000000}"/>
  </bookViews>
  <sheets>
    <sheet name="Decisions" sheetId="1" r:id="rId1"/>
    <sheet name="Positions" sheetId="2" r:id="rId2"/>
    <sheet name="Alloc-AssetClass" sheetId="3" r:id="rId3"/>
    <sheet name="Alloc-Sector" sheetId="4" r:id="rId4"/>
    <sheet name="Volatility" sheetId="5" r:id="rId5"/>
    <sheet name="Answers" sheetId="6" r:id="rId6"/>
    <sheet name="Compliance" sheetId="7" r:id="rId7"/>
    <sheet name="Ledger" sheetId="8" r:id="rId8"/>
    <sheet name="Prices" sheetId="9" r:id="rId9"/>
    <sheet name="Philosophy" sheetId="10" r:id="rId10"/>
    <sheet name="Filings"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6" i="11" l="1"/>
  <c r="P36" i="11"/>
  <c r="R36" i="11" s="1"/>
  <c r="L36" i="11"/>
  <c r="E36" i="11"/>
  <c r="G36" i="11" s="1"/>
  <c r="T35" i="11"/>
  <c r="P35" i="11"/>
  <c r="R35" i="11" s="1"/>
  <c r="L35" i="11"/>
  <c r="E35" i="11"/>
  <c r="G35" i="11" s="1"/>
  <c r="T34" i="11"/>
  <c r="P34" i="11"/>
  <c r="R34" i="11" s="1"/>
  <c r="L34" i="11"/>
  <c r="E34" i="11"/>
  <c r="G34" i="11" s="1"/>
  <c r="T33" i="11"/>
  <c r="P33" i="11"/>
  <c r="R33" i="11" s="1"/>
  <c r="L33" i="11"/>
  <c r="E33" i="11"/>
  <c r="G33" i="11" s="1"/>
  <c r="T32" i="11"/>
  <c r="P32" i="11"/>
  <c r="R32" i="11" s="1"/>
  <c r="L32" i="11"/>
  <c r="E32" i="11"/>
  <c r="G32" i="11" s="1"/>
  <c r="C25" i="11"/>
  <c r="E25" i="11" s="1"/>
  <c r="D20" i="11"/>
  <c r="E20" i="11" s="1"/>
  <c r="D19" i="11"/>
  <c r="E19" i="11" s="1"/>
  <c r="D14" i="11"/>
  <c r="E14" i="11" s="1"/>
  <c r="D13" i="11"/>
  <c r="E13" i="11" s="1"/>
  <c r="D12" i="11"/>
  <c r="E12" i="11" s="1"/>
  <c r="D11" i="11"/>
  <c r="E11" i="11" s="1"/>
  <c r="D10" i="11"/>
  <c r="E10" i="11" s="1"/>
  <c r="D9" i="11"/>
  <c r="E9" i="11" s="1"/>
  <c r="D8" i="11"/>
  <c r="E8" i="11" s="1"/>
  <c r="D7" i="11"/>
  <c r="E7" i="11" s="1"/>
  <c r="B15" i="11" s="1"/>
  <c r="G20" i="9"/>
  <c r="H20" i="9" s="1"/>
  <c r="F20" i="9"/>
  <c r="G19" i="9"/>
  <c r="H19" i="9" s="1"/>
  <c r="F19" i="9"/>
  <c r="C14" i="9"/>
  <c r="D14" i="9" s="1"/>
  <c r="E14" i="9" s="1"/>
  <c r="C13" i="9"/>
  <c r="D13" i="9" s="1"/>
  <c r="E13" i="9" s="1"/>
  <c r="C12" i="9"/>
  <c r="D12" i="9" s="1"/>
  <c r="E12" i="9" s="1"/>
  <c r="C11" i="9"/>
  <c r="D11" i="9" s="1"/>
  <c r="E11" i="9" s="1"/>
  <c r="C10" i="9"/>
  <c r="D10" i="9" s="1"/>
  <c r="E10" i="9" s="1"/>
  <c r="C9" i="9"/>
  <c r="D9" i="9" s="1"/>
  <c r="E9" i="9" s="1"/>
  <c r="C8" i="9"/>
  <c r="D8" i="9" s="1"/>
  <c r="E8" i="9" s="1"/>
  <c r="C7" i="9"/>
  <c r="D7" i="9" s="1"/>
  <c r="E7" i="9" s="1"/>
  <c r="C6" i="9"/>
  <c r="D6" i="9" s="1"/>
  <c r="E6" i="9" s="1"/>
  <c r="B15" i="9" s="1"/>
  <c r="B54" i="8"/>
  <c r="B51" i="8"/>
  <c r="B48" i="8"/>
  <c r="G45" i="8"/>
  <c r="B49" i="8" s="1"/>
  <c r="B50" i="8" s="1"/>
  <c r="F34" i="8"/>
  <c r="K33" i="8"/>
  <c r="J33" i="8"/>
  <c r="F33" i="8"/>
  <c r="K32" i="8"/>
  <c r="J32" i="8"/>
  <c r="G32" i="8"/>
  <c r="G33" i="8" s="1"/>
  <c r="G34" i="8" s="1"/>
  <c r="B37" i="8" s="1"/>
  <c r="F32" i="8"/>
  <c r="H32" i="8" s="1"/>
  <c r="F27" i="8"/>
  <c r="E27" i="8"/>
  <c r="B27" i="8"/>
  <c r="F26" i="8"/>
  <c r="E26" i="8"/>
  <c r="B26" i="8"/>
  <c r="F25" i="8"/>
  <c r="E25" i="8"/>
  <c r="B25" i="8"/>
  <c r="F24" i="8"/>
  <c r="E24" i="8"/>
  <c r="B24" i="8"/>
  <c r="F23" i="8"/>
  <c r="E23" i="8"/>
  <c r="B23" i="8"/>
  <c r="F22" i="8"/>
  <c r="E22" i="8"/>
  <c r="B22" i="8"/>
  <c r="F21" i="8"/>
  <c r="E21" i="8"/>
  <c r="B21" i="8"/>
  <c r="F20" i="8"/>
  <c r="E20" i="8"/>
  <c r="B20" i="8"/>
  <c r="F19" i="8"/>
  <c r="F28" i="8" s="1"/>
  <c r="E19" i="8"/>
  <c r="B19" i="8"/>
  <c r="G14" i="8"/>
  <c r="C27" i="8" s="1"/>
  <c r="G13" i="8"/>
  <c r="C26" i="8" s="1"/>
  <c r="G12" i="8"/>
  <c r="C25" i="8" s="1"/>
  <c r="G11" i="8"/>
  <c r="C24" i="8" s="1"/>
  <c r="G10" i="8"/>
  <c r="C23" i="8" s="1"/>
  <c r="G9" i="8"/>
  <c r="C22" i="8" s="1"/>
  <c r="G8" i="8"/>
  <c r="C21" i="8" s="1"/>
  <c r="G7" i="8"/>
  <c r="C20" i="8" s="1"/>
  <c r="G6" i="8"/>
  <c r="F79" i="7"/>
  <c r="F75" i="7"/>
  <c r="F74" i="7"/>
  <c r="F73" i="7"/>
  <c r="F72" i="7"/>
  <c r="H67" i="7"/>
  <c r="I67" i="7" s="1"/>
  <c r="G67" i="7"/>
  <c r="F67" i="7"/>
  <c r="C67" i="7"/>
  <c r="H66" i="7"/>
  <c r="I66" i="7" s="1"/>
  <c r="G66" i="7"/>
  <c r="F66" i="7"/>
  <c r="C66" i="7"/>
  <c r="H65" i="7"/>
  <c r="I65" i="7" s="1"/>
  <c r="G65" i="7"/>
  <c r="F65" i="7"/>
  <c r="C65" i="7"/>
  <c r="F64" i="7"/>
  <c r="C64" i="7"/>
  <c r="F63" i="7"/>
  <c r="C63" i="7"/>
  <c r="F62" i="7"/>
  <c r="C62" i="7"/>
  <c r="F61" i="7"/>
  <c r="C61" i="7"/>
  <c r="F60" i="7"/>
  <c r="C60" i="7"/>
  <c r="H59" i="7"/>
  <c r="I59" i="7" s="1"/>
  <c r="G59" i="7"/>
  <c r="F59" i="7"/>
  <c r="C59" i="7"/>
  <c r="F42" i="7"/>
  <c r="C42" i="7"/>
  <c r="F41" i="7"/>
  <c r="C41" i="7"/>
  <c r="F40" i="7"/>
  <c r="C40" i="7"/>
  <c r="F39" i="7"/>
  <c r="C39" i="7"/>
  <c r="F38" i="7"/>
  <c r="C38" i="7"/>
  <c r="F37" i="7"/>
  <c r="C37" i="7"/>
  <c r="F36" i="7"/>
  <c r="C36" i="7"/>
  <c r="F35" i="7"/>
  <c r="F34" i="7"/>
  <c r="F29" i="7"/>
  <c r="F28" i="7"/>
  <c r="F27" i="7"/>
  <c r="F26" i="7"/>
  <c r="F25" i="7"/>
  <c r="F24" i="7"/>
  <c r="F23" i="7"/>
  <c r="V287" i="5"/>
  <c r="U287" i="5"/>
  <c r="T287" i="5"/>
  <c r="S287" i="5"/>
  <c r="R287" i="5"/>
  <c r="Q287" i="5"/>
  <c r="P287" i="5"/>
  <c r="O287" i="5"/>
  <c r="N287" i="5"/>
  <c r="L287" i="5"/>
  <c r="V286" i="5"/>
  <c r="U286" i="5"/>
  <c r="T286" i="5"/>
  <c r="S286" i="5"/>
  <c r="R286" i="5"/>
  <c r="Q286" i="5"/>
  <c r="P286" i="5"/>
  <c r="O286" i="5"/>
  <c r="N286" i="5"/>
  <c r="L286" i="5"/>
  <c r="V285" i="5"/>
  <c r="U285" i="5"/>
  <c r="T285" i="5"/>
  <c r="S285" i="5"/>
  <c r="R285" i="5"/>
  <c r="Q285" i="5"/>
  <c r="P285" i="5"/>
  <c r="O285" i="5"/>
  <c r="N285" i="5"/>
  <c r="L285" i="5"/>
  <c r="V284" i="5"/>
  <c r="U284" i="5"/>
  <c r="T284" i="5"/>
  <c r="S284" i="5"/>
  <c r="R284" i="5"/>
  <c r="Q284" i="5"/>
  <c r="P284" i="5"/>
  <c r="O284" i="5"/>
  <c r="N284" i="5"/>
  <c r="L284" i="5"/>
  <c r="V283" i="5"/>
  <c r="U283" i="5"/>
  <c r="T283" i="5"/>
  <c r="S283" i="5"/>
  <c r="R283" i="5"/>
  <c r="Q283" i="5"/>
  <c r="P283" i="5"/>
  <c r="O283" i="5"/>
  <c r="N283" i="5"/>
  <c r="L283" i="5"/>
  <c r="V282" i="5"/>
  <c r="U282" i="5"/>
  <c r="T282" i="5"/>
  <c r="S282" i="5"/>
  <c r="R282" i="5"/>
  <c r="Q282" i="5"/>
  <c r="P282" i="5"/>
  <c r="O282" i="5"/>
  <c r="N282" i="5"/>
  <c r="L282" i="5"/>
  <c r="V281" i="5"/>
  <c r="U281" i="5"/>
  <c r="T281" i="5"/>
  <c r="S281" i="5"/>
  <c r="R281" i="5"/>
  <c r="Q281" i="5"/>
  <c r="P281" i="5"/>
  <c r="O281" i="5"/>
  <c r="N281" i="5"/>
  <c r="L281" i="5"/>
  <c r="V280" i="5"/>
  <c r="U280" i="5"/>
  <c r="T280" i="5"/>
  <c r="S280" i="5"/>
  <c r="R280" i="5"/>
  <c r="Q280" i="5"/>
  <c r="P280" i="5"/>
  <c r="O280" i="5"/>
  <c r="N280" i="5"/>
  <c r="L280" i="5"/>
  <c r="V279" i="5"/>
  <c r="U279" i="5"/>
  <c r="T279" i="5"/>
  <c r="S279" i="5"/>
  <c r="R279" i="5"/>
  <c r="Q279" i="5"/>
  <c r="P279" i="5"/>
  <c r="O279" i="5"/>
  <c r="N279" i="5"/>
  <c r="L279" i="5"/>
  <c r="V278" i="5"/>
  <c r="U278" i="5"/>
  <c r="T278" i="5"/>
  <c r="S278" i="5"/>
  <c r="R278" i="5"/>
  <c r="Q278" i="5"/>
  <c r="P278" i="5"/>
  <c r="O278" i="5"/>
  <c r="N278" i="5"/>
  <c r="L278" i="5"/>
  <c r="V277" i="5"/>
  <c r="U277" i="5"/>
  <c r="T277" i="5"/>
  <c r="S277" i="5"/>
  <c r="R277" i="5"/>
  <c r="Q277" i="5"/>
  <c r="P277" i="5"/>
  <c r="O277" i="5"/>
  <c r="N277" i="5"/>
  <c r="L277" i="5"/>
  <c r="V276" i="5"/>
  <c r="U276" i="5"/>
  <c r="T276" i="5"/>
  <c r="S276" i="5"/>
  <c r="R276" i="5"/>
  <c r="Q276" i="5"/>
  <c r="P276" i="5"/>
  <c r="O276" i="5"/>
  <c r="N276" i="5"/>
  <c r="L276" i="5"/>
  <c r="V275" i="5"/>
  <c r="U275" i="5"/>
  <c r="T275" i="5"/>
  <c r="S275" i="5"/>
  <c r="R275" i="5"/>
  <c r="Q275" i="5"/>
  <c r="P275" i="5"/>
  <c r="O275" i="5"/>
  <c r="N275" i="5"/>
  <c r="L275" i="5"/>
  <c r="V274" i="5"/>
  <c r="U274" i="5"/>
  <c r="T274" i="5"/>
  <c r="S274" i="5"/>
  <c r="R274" i="5"/>
  <c r="Q274" i="5"/>
  <c r="P274" i="5"/>
  <c r="O274" i="5"/>
  <c r="N274" i="5"/>
  <c r="L274" i="5"/>
  <c r="V273" i="5"/>
  <c r="U273" i="5"/>
  <c r="T273" i="5"/>
  <c r="S273" i="5"/>
  <c r="R273" i="5"/>
  <c r="Q273" i="5"/>
  <c r="P273" i="5"/>
  <c r="O273" i="5"/>
  <c r="N273" i="5"/>
  <c r="L273" i="5"/>
  <c r="V272" i="5"/>
  <c r="U272" i="5"/>
  <c r="T272" i="5"/>
  <c r="S272" i="5"/>
  <c r="R272" i="5"/>
  <c r="Q272" i="5"/>
  <c r="P272" i="5"/>
  <c r="O272" i="5"/>
  <c r="N272" i="5"/>
  <c r="L272" i="5"/>
  <c r="V271" i="5"/>
  <c r="U271" i="5"/>
  <c r="T271" i="5"/>
  <c r="S271" i="5"/>
  <c r="R271" i="5"/>
  <c r="Q271" i="5"/>
  <c r="P271" i="5"/>
  <c r="O271" i="5"/>
  <c r="N271" i="5"/>
  <c r="L271" i="5"/>
  <c r="V270" i="5"/>
  <c r="U270" i="5"/>
  <c r="T270" i="5"/>
  <c r="S270" i="5"/>
  <c r="R270" i="5"/>
  <c r="Q270" i="5"/>
  <c r="P270" i="5"/>
  <c r="O270" i="5"/>
  <c r="N270" i="5"/>
  <c r="L270" i="5"/>
  <c r="V269" i="5"/>
  <c r="U269" i="5"/>
  <c r="T269" i="5"/>
  <c r="S269" i="5"/>
  <c r="R269" i="5"/>
  <c r="Q269" i="5"/>
  <c r="P269" i="5"/>
  <c r="O269" i="5"/>
  <c r="N269" i="5"/>
  <c r="V268" i="5"/>
  <c r="U268" i="5"/>
  <c r="T268" i="5"/>
  <c r="S268" i="5"/>
  <c r="R268" i="5"/>
  <c r="Q268" i="5"/>
  <c r="P268" i="5"/>
  <c r="O268" i="5"/>
  <c r="N268" i="5"/>
  <c r="V267" i="5"/>
  <c r="U267" i="5"/>
  <c r="T267" i="5"/>
  <c r="S267" i="5"/>
  <c r="R267" i="5"/>
  <c r="Q267" i="5"/>
  <c r="P267" i="5"/>
  <c r="O267" i="5"/>
  <c r="N267" i="5"/>
  <c r="V266" i="5"/>
  <c r="U266" i="5"/>
  <c r="T266" i="5"/>
  <c r="S266" i="5"/>
  <c r="R266" i="5"/>
  <c r="Q266" i="5"/>
  <c r="P266" i="5"/>
  <c r="O266" i="5"/>
  <c r="N266" i="5"/>
  <c r="V265" i="5"/>
  <c r="U265" i="5"/>
  <c r="T265" i="5"/>
  <c r="S265" i="5"/>
  <c r="R265" i="5"/>
  <c r="Q265" i="5"/>
  <c r="P265" i="5"/>
  <c r="O265" i="5"/>
  <c r="N265" i="5"/>
  <c r="V264" i="5"/>
  <c r="U264" i="5"/>
  <c r="T264" i="5"/>
  <c r="S264" i="5"/>
  <c r="R264" i="5"/>
  <c r="Q264" i="5"/>
  <c r="P264" i="5"/>
  <c r="O264" i="5"/>
  <c r="N264" i="5"/>
  <c r="V263" i="5"/>
  <c r="U263" i="5"/>
  <c r="T263" i="5"/>
  <c r="S263" i="5"/>
  <c r="R263" i="5"/>
  <c r="Q263" i="5"/>
  <c r="P263" i="5"/>
  <c r="O263" i="5"/>
  <c r="N263" i="5"/>
  <c r="V262" i="5"/>
  <c r="U262" i="5"/>
  <c r="T262" i="5"/>
  <c r="S262" i="5"/>
  <c r="R262" i="5"/>
  <c r="Q262" i="5"/>
  <c r="P262" i="5"/>
  <c r="O262" i="5"/>
  <c r="N262" i="5"/>
  <c r="V261" i="5"/>
  <c r="U261" i="5"/>
  <c r="T261" i="5"/>
  <c r="S261" i="5"/>
  <c r="R261" i="5"/>
  <c r="Q261" i="5"/>
  <c r="P261" i="5"/>
  <c r="O261" i="5"/>
  <c r="N261" i="5"/>
  <c r="V260" i="5"/>
  <c r="U260" i="5"/>
  <c r="T260" i="5"/>
  <c r="S260" i="5"/>
  <c r="R260" i="5"/>
  <c r="Q260" i="5"/>
  <c r="P260" i="5"/>
  <c r="O260" i="5"/>
  <c r="N260" i="5"/>
  <c r="V259" i="5"/>
  <c r="U259" i="5"/>
  <c r="T259" i="5"/>
  <c r="S259" i="5"/>
  <c r="R259" i="5"/>
  <c r="Q259" i="5"/>
  <c r="P259" i="5"/>
  <c r="O259" i="5"/>
  <c r="N259" i="5"/>
  <c r="V258" i="5"/>
  <c r="U258" i="5"/>
  <c r="T258" i="5"/>
  <c r="S258" i="5"/>
  <c r="R258" i="5"/>
  <c r="Q258" i="5"/>
  <c r="P258" i="5"/>
  <c r="O258" i="5"/>
  <c r="N258" i="5"/>
  <c r="V257" i="5"/>
  <c r="U257" i="5"/>
  <c r="T257" i="5"/>
  <c r="S257" i="5"/>
  <c r="R257" i="5"/>
  <c r="Q257" i="5"/>
  <c r="P257" i="5"/>
  <c r="O257" i="5"/>
  <c r="N257" i="5"/>
  <c r="V256" i="5"/>
  <c r="U256" i="5"/>
  <c r="T256" i="5"/>
  <c r="S256" i="5"/>
  <c r="R256" i="5"/>
  <c r="Q256" i="5"/>
  <c r="P256" i="5"/>
  <c r="O256" i="5"/>
  <c r="N256" i="5"/>
  <c r="V255" i="5"/>
  <c r="U255" i="5"/>
  <c r="T255" i="5"/>
  <c r="S255" i="5"/>
  <c r="R255" i="5"/>
  <c r="Q255" i="5"/>
  <c r="P255" i="5"/>
  <c r="O255" i="5"/>
  <c r="N255" i="5"/>
  <c r="V254" i="5"/>
  <c r="U254" i="5"/>
  <c r="T254" i="5"/>
  <c r="S254" i="5"/>
  <c r="R254" i="5"/>
  <c r="Q254" i="5"/>
  <c r="P254" i="5"/>
  <c r="O254" i="5"/>
  <c r="N254" i="5"/>
  <c r="V253" i="5"/>
  <c r="U253" i="5"/>
  <c r="T253" i="5"/>
  <c r="S253" i="5"/>
  <c r="R253" i="5"/>
  <c r="Q253" i="5"/>
  <c r="P253" i="5"/>
  <c r="O253" i="5"/>
  <c r="N253" i="5"/>
  <c r="V252" i="5"/>
  <c r="U252" i="5"/>
  <c r="T252" i="5"/>
  <c r="S252" i="5"/>
  <c r="R252" i="5"/>
  <c r="Q252" i="5"/>
  <c r="P252" i="5"/>
  <c r="O252" i="5"/>
  <c r="N252" i="5"/>
  <c r="V251" i="5"/>
  <c r="U251" i="5"/>
  <c r="T251" i="5"/>
  <c r="S251" i="5"/>
  <c r="R251" i="5"/>
  <c r="Q251" i="5"/>
  <c r="P251" i="5"/>
  <c r="O251" i="5"/>
  <c r="N251" i="5"/>
  <c r="V250" i="5"/>
  <c r="U250" i="5"/>
  <c r="T250" i="5"/>
  <c r="S250" i="5"/>
  <c r="R250" i="5"/>
  <c r="Q250" i="5"/>
  <c r="P250" i="5"/>
  <c r="O250" i="5"/>
  <c r="N250" i="5"/>
  <c r="V249" i="5"/>
  <c r="U249" i="5"/>
  <c r="T249" i="5"/>
  <c r="S249" i="5"/>
  <c r="R249" i="5"/>
  <c r="Q249" i="5"/>
  <c r="P249" i="5"/>
  <c r="O249" i="5"/>
  <c r="N249" i="5"/>
  <c r="V248" i="5"/>
  <c r="U248" i="5"/>
  <c r="T248" i="5"/>
  <c r="S248" i="5"/>
  <c r="R248" i="5"/>
  <c r="Q248" i="5"/>
  <c r="P248" i="5"/>
  <c r="O248" i="5"/>
  <c r="N248" i="5"/>
  <c r="V247" i="5"/>
  <c r="U247" i="5"/>
  <c r="T247" i="5"/>
  <c r="S247" i="5"/>
  <c r="R247" i="5"/>
  <c r="Q247" i="5"/>
  <c r="P247" i="5"/>
  <c r="O247" i="5"/>
  <c r="N247" i="5"/>
  <c r="V246" i="5"/>
  <c r="U246" i="5"/>
  <c r="T246" i="5"/>
  <c r="S246" i="5"/>
  <c r="R246" i="5"/>
  <c r="Q246" i="5"/>
  <c r="P246" i="5"/>
  <c r="O246" i="5"/>
  <c r="N246" i="5"/>
  <c r="V245" i="5"/>
  <c r="U245" i="5"/>
  <c r="T245" i="5"/>
  <c r="S245" i="5"/>
  <c r="R245" i="5"/>
  <c r="Q245" i="5"/>
  <c r="P245" i="5"/>
  <c r="O245" i="5"/>
  <c r="N245" i="5"/>
  <c r="V244" i="5"/>
  <c r="U244" i="5"/>
  <c r="T244" i="5"/>
  <c r="S244" i="5"/>
  <c r="R244" i="5"/>
  <c r="Q244" i="5"/>
  <c r="P244" i="5"/>
  <c r="O244" i="5"/>
  <c r="N244" i="5"/>
  <c r="V243" i="5"/>
  <c r="U243" i="5"/>
  <c r="T243" i="5"/>
  <c r="S243" i="5"/>
  <c r="R243" i="5"/>
  <c r="Q243" i="5"/>
  <c r="P243" i="5"/>
  <c r="O243" i="5"/>
  <c r="N243" i="5"/>
  <c r="V242" i="5"/>
  <c r="U242" i="5"/>
  <c r="T242" i="5"/>
  <c r="S242" i="5"/>
  <c r="R242" i="5"/>
  <c r="Q242" i="5"/>
  <c r="P242" i="5"/>
  <c r="O242" i="5"/>
  <c r="N242" i="5"/>
  <c r="V241" i="5"/>
  <c r="U241" i="5"/>
  <c r="T241" i="5"/>
  <c r="S241" i="5"/>
  <c r="R241" i="5"/>
  <c r="Q241" i="5"/>
  <c r="P241" i="5"/>
  <c r="O241" i="5"/>
  <c r="N241" i="5"/>
  <c r="V240" i="5"/>
  <c r="U240" i="5"/>
  <c r="T240" i="5"/>
  <c r="S240" i="5"/>
  <c r="R240" i="5"/>
  <c r="Q240" i="5"/>
  <c r="P240" i="5"/>
  <c r="O240" i="5"/>
  <c r="N240" i="5"/>
  <c r="V239" i="5"/>
  <c r="U239" i="5"/>
  <c r="T239" i="5"/>
  <c r="S239" i="5"/>
  <c r="R239" i="5"/>
  <c r="Q239" i="5"/>
  <c r="P239" i="5"/>
  <c r="O239" i="5"/>
  <c r="N239" i="5"/>
  <c r="V238" i="5"/>
  <c r="U238" i="5"/>
  <c r="T238" i="5"/>
  <c r="S238" i="5"/>
  <c r="R238" i="5"/>
  <c r="Q238" i="5"/>
  <c r="P238" i="5"/>
  <c r="O238" i="5"/>
  <c r="N238" i="5"/>
  <c r="V237" i="5"/>
  <c r="U237" i="5"/>
  <c r="T237" i="5"/>
  <c r="S237" i="5"/>
  <c r="R237" i="5"/>
  <c r="Q237" i="5"/>
  <c r="P237" i="5"/>
  <c r="O237" i="5"/>
  <c r="N237" i="5"/>
  <c r="V236" i="5"/>
  <c r="U236" i="5"/>
  <c r="T236" i="5"/>
  <c r="S236" i="5"/>
  <c r="R236" i="5"/>
  <c r="Q236" i="5"/>
  <c r="P236" i="5"/>
  <c r="O236" i="5"/>
  <c r="N236" i="5"/>
  <c r="V235" i="5"/>
  <c r="U235" i="5"/>
  <c r="T235" i="5"/>
  <c r="S235" i="5"/>
  <c r="R235" i="5"/>
  <c r="Q235" i="5"/>
  <c r="P235" i="5"/>
  <c r="O235" i="5"/>
  <c r="N235" i="5"/>
  <c r="V234" i="5"/>
  <c r="U234" i="5"/>
  <c r="T234" i="5"/>
  <c r="S234" i="5"/>
  <c r="R234" i="5"/>
  <c r="Q234" i="5"/>
  <c r="P234" i="5"/>
  <c r="O234" i="5"/>
  <c r="N234" i="5"/>
  <c r="V233" i="5"/>
  <c r="U233" i="5"/>
  <c r="T233" i="5"/>
  <c r="S233" i="5"/>
  <c r="R233" i="5"/>
  <c r="Q233" i="5"/>
  <c r="P233" i="5"/>
  <c r="O233" i="5"/>
  <c r="N233" i="5"/>
  <c r="V232" i="5"/>
  <c r="U232" i="5"/>
  <c r="T232" i="5"/>
  <c r="S232" i="5"/>
  <c r="R232" i="5"/>
  <c r="Q232" i="5"/>
  <c r="P232" i="5"/>
  <c r="O232" i="5"/>
  <c r="N232" i="5"/>
  <c r="V231" i="5"/>
  <c r="U231" i="5"/>
  <c r="T231" i="5"/>
  <c r="S231" i="5"/>
  <c r="R231" i="5"/>
  <c r="Q231" i="5"/>
  <c r="P231" i="5"/>
  <c r="O231" i="5"/>
  <c r="N231" i="5"/>
  <c r="V230" i="5"/>
  <c r="U230" i="5"/>
  <c r="T230" i="5"/>
  <c r="S230" i="5"/>
  <c r="R230" i="5"/>
  <c r="Q230" i="5"/>
  <c r="P230" i="5"/>
  <c r="O230" i="5"/>
  <c r="N230" i="5"/>
  <c r="V229" i="5"/>
  <c r="U229" i="5"/>
  <c r="T229" i="5"/>
  <c r="S229" i="5"/>
  <c r="R229" i="5"/>
  <c r="Q229" i="5"/>
  <c r="P229" i="5"/>
  <c r="O229" i="5"/>
  <c r="N229" i="5"/>
  <c r="V228" i="5"/>
  <c r="U228" i="5"/>
  <c r="T228" i="5"/>
  <c r="S228" i="5"/>
  <c r="R228" i="5"/>
  <c r="Q228" i="5"/>
  <c r="P228" i="5"/>
  <c r="O228" i="5"/>
  <c r="N228" i="5"/>
  <c r="V227" i="5"/>
  <c r="U227" i="5"/>
  <c r="T227" i="5"/>
  <c r="S227" i="5"/>
  <c r="R227" i="5"/>
  <c r="Q227" i="5"/>
  <c r="P227" i="5"/>
  <c r="O227" i="5"/>
  <c r="N227" i="5"/>
  <c r="V226" i="5"/>
  <c r="U226" i="5"/>
  <c r="T226" i="5"/>
  <c r="S226" i="5"/>
  <c r="R226" i="5"/>
  <c r="Q226" i="5"/>
  <c r="P226" i="5"/>
  <c r="O226" i="5"/>
  <c r="N226" i="5"/>
  <c r="V225" i="5"/>
  <c r="U225" i="5"/>
  <c r="T225" i="5"/>
  <c r="S225" i="5"/>
  <c r="R225" i="5"/>
  <c r="Q225" i="5"/>
  <c r="P225" i="5"/>
  <c r="O225" i="5"/>
  <c r="N225" i="5"/>
  <c r="V224" i="5"/>
  <c r="U224" i="5"/>
  <c r="T224" i="5"/>
  <c r="S224" i="5"/>
  <c r="R224" i="5"/>
  <c r="Q224" i="5"/>
  <c r="P224" i="5"/>
  <c r="O224" i="5"/>
  <c r="N224" i="5"/>
  <c r="V223" i="5"/>
  <c r="U223" i="5"/>
  <c r="T223" i="5"/>
  <c r="S223" i="5"/>
  <c r="R223" i="5"/>
  <c r="Q223" i="5"/>
  <c r="P223" i="5"/>
  <c r="O223" i="5"/>
  <c r="N223" i="5"/>
  <c r="V222" i="5"/>
  <c r="U222" i="5"/>
  <c r="T222" i="5"/>
  <c r="S222" i="5"/>
  <c r="R222" i="5"/>
  <c r="Q222" i="5"/>
  <c r="P222" i="5"/>
  <c r="O222" i="5"/>
  <c r="N222" i="5"/>
  <c r="V221" i="5"/>
  <c r="U221" i="5"/>
  <c r="T221" i="5"/>
  <c r="S221" i="5"/>
  <c r="R221" i="5"/>
  <c r="Q221" i="5"/>
  <c r="P221" i="5"/>
  <c r="O221" i="5"/>
  <c r="N221" i="5"/>
  <c r="V220" i="5"/>
  <c r="U220" i="5"/>
  <c r="T220" i="5"/>
  <c r="S220" i="5"/>
  <c r="R220" i="5"/>
  <c r="Q220" i="5"/>
  <c r="P220" i="5"/>
  <c r="O220" i="5"/>
  <c r="N220" i="5"/>
  <c r="V219" i="5"/>
  <c r="U219" i="5"/>
  <c r="T219" i="5"/>
  <c r="S219" i="5"/>
  <c r="R219" i="5"/>
  <c r="Q219" i="5"/>
  <c r="P219" i="5"/>
  <c r="O219" i="5"/>
  <c r="N219" i="5"/>
  <c r="V218" i="5"/>
  <c r="U218" i="5"/>
  <c r="T218" i="5"/>
  <c r="S218" i="5"/>
  <c r="R218" i="5"/>
  <c r="Q218" i="5"/>
  <c r="P218" i="5"/>
  <c r="O218" i="5"/>
  <c r="N218" i="5"/>
  <c r="V217" i="5"/>
  <c r="U217" i="5"/>
  <c r="T217" i="5"/>
  <c r="S217" i="5"/>
  <c r="R217" i="5"/>
  <c r="Q217" i="5"/>
  <c r="P217" i="5"/>
  <c r="O217" i="5"/>
  <c r="N217" i="5"/>
  <c r="V216" i="5"/>
  <c r="U216" i="5"/>
  <c r="T216" i="5"/>
  <c r="S216" i="5"/>
  <c r="R216" i="5"/>
  <c r="Q216" i="5"/>
  <c r="P216" i="5"/>
  <c r="O216" i="5"/>
  <c r="N216" i="5"/>
  <c r="V215" i="5"/>
  <c r="U215" i="5"/>
  <c r="T215" i="5"/>
  <c r="S215" i="5"/>
  <c r="R215" i="5"/>
  <c r="Q215" i="5"/>
  <c r="P215" i="5"/>
  <c r="O215" i="5"/>
  <c r="N215" i="5"/>
  <c r="V214" i="5"/>
  <c r="U214" i="5"/>
  <c r="T214" i="5"/>
  <c r="S214" i="5"/>
  <c r="R214" i="5"/>
  <c r="Q214" i="5"/>
  <c r="P214" i="5"/>
  <c r="O214" i="5"/>
  <c r="N214" i="5"/>
  <c r="V213" i="5"/>
  <c r="U213" i="5"/>
  <c r="T213" i="5"/>
  <c r="S213" i="5"/>
  <c r="R213" i="5"/>
  <c r="Q213" i="5"/>
  <c r="P213" i="5"/>
  <c r="O213" i="5"/>
  <c r="N213" i="5"/>
  <c r="V212" i="5"/>
  <c r="U212" i="5"/>
  <c r="T212" i="5"/>
  <c r="S212" i="5"/>
  <c r="R212" i="5"/>
  <c r="Q212" i="5"/>
  <c r="P212" i="5"/>
  <c r="O212" i="5"/>
  <c r="N212" i="5"/>
  <c r="V211" i="5"/>
  <c r="U211" i="5"/>
  <c r="T211" i="5"/>
  <c r="S211" i="5"/>
  <c r="R211" i="5"/>
  <c r="Q211" i="5"/>
  <c r="P211" i="5"/>
  <c r="O211" i="5"/>
  <c r="N211" i="5"/>
  <c r="V210" i="5"/>
  <c r="U210" i="5"/>
  <c r="T210" i="5"/>
  <c r="S210" i="5"/>
  <c r="R210" i="5"/>
  <c r="Q210" i="5"/>
  <c r="P210" i="5"/>
  <c r="O210" i="5"/>
  <c r="N210" i="5"/>
  <c r="V209" i="5"/>
  <c r="U209" i="5"/>
  <c r="T209" i="5"/>
  <c r="S209" i="5"/>
  <c r="R209" i="5"/>
  <c r="Q209" i="5"/>
  <c r="P209" i="5"/>
  <c r="O209" i="5"/>
  <c r="N209" i="5"/>
  <c r="V208" i="5"/>
  <c r="U208" i="5"/>
  <c r="T208" i="5"/>
  <c r="S208" i="5"/>
  <c r="R208" i="5"/>
  <c r="Q208" i="5"/>
  <c r="P208" i="5"/>
  <c r="O208" i="5"/>
  <c r="N208" i="5"/>
  <c r="V207" i="5"/>
  <c r="U207" i="5"/>
  <c r="T207" i="5"/>
  <c r="S207" i="5"/>
  <c r="R207" i="5"/>
  <c r="Q207" i="5"/>
  <c r="P207" i="5"/>
  <c r="O207" i="5"/>
  <c r="N207" i="5"/>
  <c r="V206" i="5"/>
  <c r="U206" i="5"/>
  <c r="T206" i="5"/>
  <c r="S206" i="5"/>
  <c r="R206" i="5"/>
  <c r="Q206" i="5"/>
  <c r="P206" i="5"/>
  <c r="O206" i="5"/>
  <c r="N206" i="5"/>
  <c r="V205" i="5"/>
  <c r="U205" i="5"/>
  <c r="T205" i="5"/>
  <c r="S205" i="5"/>
  <c r="R205" i="5"/>
  <c r="Q205" i="5"/>
  <c r="P205" i="5"/>
  <c r="O205" i="5"/>
  <c r="N205" i="5"/>
  <c r="V204" i="5"/>
  <c r="U204" i="5"/>
  <c r="T204" i="5"/>
  <c r="S204" i="5"/>
  <c r="R204" i="5"/>
  <c r="Q204" i="5"/>
  <c r="P204" i="5"/>
  <c r="O204" i="5"/>
  <c r="N204" i="5"/>
  <c r="V203" i="5"/>
  <c r="U203" i="5"/>
  <c r="T203" i="5"/>
  <c r="S203" i="5"/>
  <c r="R203" i="5"/>
  <c r="Q203" i="5"/>
  <c r="P203" i="5"/>
  <c r="O203" i="5"/>
  <c r="N203" i="5"/>
  <c r="V202" i="5"/>
  <c r="U202" i="5"/>
  <c r="T202" i="5"/>
  <c r="S202" i="5"/>
  <c r="R202" i="5"/>
  <c r="Q202" i="5"/>
  <c r="P202" i="5"/>
  <c r="O202" i="5"/>
  <c r="N202" i="5"/>
  <c r="V201" i="5"/>
  <c r="U201" i="5"/>
  <c r="T201" i="5"/>
  <c r="S201" i="5"/>
  <c r="R201" i="5"/>
  <c r="Q201" i="5"/>
  <c r="P201" i="5"/>
  <c r="O201" i="5"/>
  <c r="N201" i="5"/>
  <c r="V200" i="5"/>
  <c r="U200" i="5"/>
  <c r="T200" i="5"/>
  <c r="S200" i="5"/>
  <c r="R200" i="5"/>
  <c r="Q200" i="5"/>
  <c r="P200" i="5"/>
  <c r="O200" i="5"/>
  <c r="N200" i="5"/>
  <c r="V199" i="5"/>
  <c r="U199" i="5"/>
  <c r="T199" i="5"/>
  <c r="S199" i="5"/>
  <c r="R199" i="5"/>
  <c r="Q199" i="5"/>
  <c r="P199" i="5"/>
  <c r="O199" i="5"/>
  <c r="N199" i="5"/>
  <c r="V198" i="5"/>
  <c r="U198" i="5"/>
  <c r="T198" i="5"/>
  <c r="S198" i="5"/>
  <c r="R198" i="5"/>
  <c r="Q198" i="5"/>
  <c r="P198" i="5"/>
  <c r="O198" i="5"/>
  <c r="N198" i="5"/>
  <c r="V197" i="5"/>
  <c r="U197" i="5"/>
  <c r="T197" i="5"/>
  <c r="S197" i="5"/>
  <c r="R197" i="5"/>
  <c r="Q197" i="5"/>
  <c r="P197" i="5"/>
  <c r="O197" i="5"/>
  <c r="N197" i="5"/>
  <c r="V196" i="5"/>
  <c r="U196" i="5"/>
  <c r="T196" i="5"/>
  <c r="S196" i="5"/>
  <c r="R196" i="5"/>
  <c r="Q196" i="5"/>
  <c r="P196" i="5"/>
  <c r="O196" i="5"/>
  <c r="N196" i="5"/>
  <c r="V195" i="5"/>
  <c r="U195" i="5"/>
  <c r="T195" i="5"/>
  <c r="S195" i="5"/>
  <c r="R195" i="5"/>
  <c r="Q195" i="5"/>
  <c r="P195" i="5"/>
  <c r="O195" i="5"/>
  <c r="N195" i="5"/>
  <c r="V194" i="5"/>
  <c r="U194" i="5"/>
  <c r="T194" i="5"/>
  <c r="S194" i="5"/>
  <c r="R194" i="5"/>
  <c r="Q194" i="5"/>
  <c r="P194" i="5"/>
  <c r="O194" i="5"/>
  <c r="N194" i="5"/>
  <c r="V193" i="5"/>
  <c r="U193" i="5"/>
  <c r="T193" i="5"/>
  <c r="S193" i="5"/>
  <c r="R193" i="5"/>
  <c r="Q193" i="5"/>
  <c r="P193" i="5"/>
  <c r="O193" i="5"/>
  <c r="N193" i="5"/>
  <c r="V192" i="5"/>
  <c r="U192" i="5"/>
  <c r="T192" i="5"/>
  <c r="S192" i="5"/>
  <c r="R192" i="5"/>
  <c r="Q192" i="5"/>
  <c r="P192" i="5"/>
  <c r="O192" i="5"/>
  <c r="N192" i="5"/>
  <c r="V191" i="5"/>
  <c r="U191" i="5"/>
  <c r="T191" i="5"/>
  <c r="S191" i="5"/>
  <c r="R191" i="5"/>
  <c r="Q191" i="5"/>
  <c r="P191" i="5"/>
  <c r="O191" i="5"/>
  <c r="N191" i="5"/>
  <c r="V190" i="5"/>
  <c r="U190" i="5"/>
  <c r="T190" i="5"/>
  <c r="S190" i="5"/>
  <c r="R190" i="5"/>
  <c r="Q190" i="5"/>
  <c r="P190" i="5"/>
  <c r="O190" i="5"/>
  <c r="N190" i="5"/>
  <c r="V189" i="5"/>
  <c r="U189" i="5"/>
  <c r="T189" i="5"/>
  <c r="S189" i="5"/>
  <c r="R189" i="5"/>
  <c r="Q189" i="5"/>
  <c r="P189" i="5"/>
  <c r="O189" i="5"/>
  <c r="N189" i="5"/>
  <c r="V188" i="5"/>
  <c r="U188" i="5"/>
  <c r="T188" i="5"/>
  <c r="S188" i="5"/>
  <c r="R188" i="5"/>
  <c r="Q188" i="5"/>
  <c r="P188" i="5"/>
  <c r="O188" i="5"/>
  <c r="N188" i="5"/>
  <c r="V187" i="5"/>
  <c r="U187" i="5"/>
  <c r="T187" i="5"/>
  <c r="S187" i="5"/>
  <c r="R187" i="5"/>
  <c r="Q187" i="5"/>
  <c r="P187" i="5"/>
  <c r="O187" i="5"/>
  <c r="N187" i="5"/>
  <c r="V186" i="5"/>
  <c r="U186" i="5"/>
  <c r="T186" i="5"/>
  <c r="S186" i="5"/>
  <c r="R186" i="5"/>
  <c r="Q186" i="5"/>
  <c r="P186" i="5"/>
  <c r="O186" i="5"/>
  <c r="N186" i="5"/>
  <c r="V185" i="5"/>
  <c r="U185" i="5"/>
  <c r="T185" i="5"/>
  <c r="S185" i="5"/>
  <c r="R185" i="5"/>
  <c r="Q185" i="5"/>
  <c r="P185" i="5"/>
  <c r="O185" i="5"/>
  <c r="N185" i="5"/>
  <c r="V184" i="5"/>
  <c r="U184" i="5"/>
  <c r="T184" i="5"/>
  <c r="S184" i="5"/>
  <c r="R184" i="5"/>
  <c r="Q184" i="5"/>
  <c r="P184" i="5"/>
  <c r="O184" i="5"/>
  <c r="N184" i="5"/>
  <c r="V183" i="5"/>
  <c r="U183" i="5"/>
  <c r="T183" i="5"/>
  <c r="S183" i="5"/>
  <c r="R183" i="5"/>
  <c r="Q183" i="5"/>
  <c r="P183" i="5"/>
  <c r="O183" i="5"/>
  <c r="N183" i="5"/>
  <c r="V182" i="5"/>
  <c r="U182" i="5"/>
  <c r="T182" i="5"/>
  <c r="S182" i="5"/>
  <c r="R182" i="5"/>
  <c r="Q182" i="5"/>
  <c r="P182" i="5"/>
  <c r="O182" i="5"/>
  <c r="N182" i="5"/>
  <c r="V181" i="5"/>
  <c r="U181" i="5"/>
  <c r="T181" i="5"/>
  <c r="S181" i="5"/>
  <c r="R181" i="5"/>
  <c r="Q181" i="5"/>
  <c r="P181" i="5"/>
  <c r="O181" i="5"/>
  <c r="N181" i="5"/>
  <c r="V180" i="5"/>
  <c r="U180" i="5"/>
  <c r="T180" i="5"/>
  <c r="S180" i="5"/>
  <c r="R180" i="5"/>
  <c r="Q180" i="5"/>
  <c r="P180" i="5"/>
  <c r="O180" i="5"/>
  <c r="N180" i="5"/>
  <c r="V179" i="5"/>
  <c r="U179" i="5"/>
  <c r="T179" i="5"/>
  <c r="S179" i="5"/>
  <c r="R179" i="5"/>
  <c r="Q179" i="5"/>
  <c r="P179" i="5"/>
  <c r="O179" i="5"/>
  <c r="N179" i="5"/>
  <c r="V178" i="5"/>
  <c r="U178" i="5"/>
  <c r="T178" i="5"/>
  <c r="S178" i="5"/>
  <c r="R178" i="5"/>
  <c r="Q178" i="5"/>
  <c r="P178" i="5"/>
  <c r="O178" i="5"/>
  <c r="N178" i="5"/>
  <c r="V177" i="5"/>
  <c r="U177" i="5"/>
  <c r="T177" i="5"/>
  <c r="S177" i="5"/>
  <c r="R177" i="5"/>
  <c r="Q177" i="5"/>
  <c r="P177" i="5"/>
  <c r="O177" i="5"/>
  <c r="N177" i="5"/>
  <c r="V176" i="5"/>
  <c r="U176" i="5"/>
  <c r="T176" i="5"/>
  <c r="S176" i="5"/>
  <c r="R176" i="5"/>
  <c r="Q176" i="5"/>
  <c r="P176" i="5"/>
  <c r="O176" i="5"/>
  <c r="N176" i="5"/>
  <c r="V175" i="5"/>
  <c r="U175" i="5"/>
  <c r="T175" i="5"/>
  <c r="S175" i="5"/>
  <c r="R175" i="5"/>
  <c r="Q175" i="5"/>
  <c r="P175" i="5"/>
  <c r="O175" i="5"/>
  <c r="N175" i="5"/>
  <c r="V174" i="5"/>
  <c r="U174" i="5"/>
  <c r="T174" i="5"/>
  <c r="S174" i="5"/>
  <c r="R174" i="5"/>
  <c r="Q174" i="5"/>
  <c r="P174" i="5"/>
  <c r="O174" i="5"/>
  <c r="N174" i="5"/>
  <c r="V173" i="5"/>
  <c r="U173" i="5"/>
  <c r="T173" i="5"/>
  <c r="S173" i="5"/>
  <c r="R173" i="5"/>
  <c r="Q173" i="5"/>
  <c r="P173" i="5"/>
  <c r="O173" i="5"/>
  <c r="N173" i="5"/>
  <c r="V172" i="5"/>
  <c r="U172" i="5"/>
  <c r="T172" i="5"/>
  <c r="S172" i="5"/>
  <c r="R172" i="5"/>
  <c r="Q172" i="5"/>
  <c r="P172" i="5"/>
  <c r="O172" i="5"/>
  <c r="N172" i="5"/>
  <c r="V171" i="5"/>
  <c r="U171" i="5"/>
  <c r="T171" i="5"/>
  <c r="S171" i="5"/>
  <c r="R171" i="5"/>
  <c r="Q171" i="5"/>
  <c r="P171" i="5"/>
  <c r="O171" i="5"/>
  <c r="N171" i="5"/>
  <c r="V170" i="5"/>
  <c r="U170" i="5"/>
  <c r="T170" i="5"/>
  <c r="S170" i="5"/>
  <c r="R170" i="5"/>
  <c r="Q170" i="5"/>
  <c r="P170" i="5"/>
  <c r="O170" i="5"/>
  <c r="N170" i="5"/>
  <c r="V169" i="5"/>
  <c r="U169" i="5"/>
  <c r="T169" i="5"/>
  <c r="S169" i="5"/>
  <c r="R169" i="5"/>
  <c r="Q169" i="5"/>
  <c r="P169" i="5"/>
  <c r="O169" i="5"/>
  <c r="N169" i="5"/>
  <c r="V168" i="5"/>
  <c r="U168" i="5"/>
  <c r="T168" i="5"/>
  <c r="S168" i="5"/>
  <c r="R168" i="5"/>
  <c r="Q168" i="5"/>
  <c r="P168" i="5"/>
  <c r="O168" i="5"/>
  <c r="N168" i="5"/>
  <c r="V167" i="5"/>
  <c r="U167" i="5"/>
  <c r="T167" i="5"/>
  <c r="S167" i="5"/>
  <c r="R167" i="5"/>
  <c r="Q167" i="5"/>
  <c r="P167" i="5"/>
  <c r="O167" i="5"/>
  <c r="N167" i="5"/>
  <c r="V166" i="5"/>
  <c r="U166" i="5"/>
  <c r="T166" i="5"/>
  <c r="S166" i="5"/>
  <c r="R166" i="5"/>
  <c r="Q166" i="5"/>
  <c r="P166" i="5"/>
  <c r="O166" i="5"/>
  <c r="N166" i="5"/>
  <c r="V165" i="5"/>
  <c r="U165" i="5"/>
  <c r="T165" i="5"/>
  <c r="S165" i="5"/>
  <c r="R165" i="5"/>
  <c r="Q165" i="5"/>
  <c r="P165" i="5"/>
  <c r="O165" i="5"/>
  <c r="N165" i="5"/>
  <c r="V164" i="5"/>
  <c r="U164" i="5"/>
  <c r="T164" i="5"/>
  <c r="S164" i="5"/>
  <c r="R164" i="5"/>
  <c r="Q164" i="5"/>
  <c r="P164" i="5"/>
  <c r="O164" i="5"/>
  <c r="N164" i="5"/>
  <c r="V163" i="5"/>
  <c r="U163" i="5"/>
  <c r="T163" i="5"/>
  <c r="S163" i="5"/>
  <c r="R163" i="5"/>
  <c r="Q163" i="5"/>
  <c r="P163" i="5"/>
  <c r="O163" i="5"/>
  <c r="N163" i="5"/>
  <c r="V162" i="5"/>
  <c r="U162" i="5"/>
  <c r="T162" i="5"/>
  <c r="S162" i="5"/>
  <c r="R162" i="5"/>
  <c r="Q162" i="5"/>
  <c r="P162" i="5"/>
  <c r="O162" i="5"/>
  <c r="N162" i="5"/>
  <c r="V161" i="5"/>
  <c r="U161" i="5"/>
  <c r="T161" i="5"/>
  <c r="S161" i="5"/>
  <c r="R161" i="5"/>
  <c r="Q161" i="5"/>
  <c r="P161" i="5"/>
  <c r="O161" i="5"/>
  <c r="N161" i="5"/>
  <c r="V160" i="5"/>
  <c r="U160" i="5"/>
  <c r="T160" i="5"/>
  <c r="S160" i="5"/>
  <c r="R160" i="5"/>
  <c r="Q160" i="5"/>
  <c r="P160" i="5"/>
  <c r="O160" i="5"/>
  <c r="N160" i="5"/>
  <c r="V159" i="5"/>
  <c r="U159" i="5"/>
  <c r="T159" i="5"/>
  <c r="S159" i="5"/>
  <c r="R159" i="5"/>
  <c r="Q159" i="5"/>
  <c r="P159" i="5"/>
  <c r="O159" i="5"/>
  <c r="N159" i="5"/>
  <c r="V158" i="5"/>
  <c r="U158" i="5"/>
  <c r="T158" i="5"/>
  <c r="S158" i="5"/>
  <c r="R158" i="5"/>
  <c r="Q158" i="5"/>
  <c r="P158" i="5"/>
  <c r="O158" i="5"/>
  <c r="N158" i="5"/>
  <c r="V157" i="5"/>
  <c r="U157" i="5"/>
  <c r="T157" i="5"/>
  <c r="S157" i="5"/>
  <c r="R157" i="5"/>
  <c r="Q157" i="5"/>
  <c r="P157" i="5"/>
  <c r="O157" i="5"/>
  <c r="N157" i="5"/>
  <c r="V156" i="5"/>
  <c r="U156" i="5"/>
  <c r="T156" i="5"/>
  <c r="S156" i="5"/>
  <c r="R156" i="5"/>
  <c r="Q156" i="5"/>
  <c r="P156" i="5"/>
  <c r="O156" i="5"/>
  <c r="N156" i="5"/>
  <c r="V155" i="5"/>
  <c r="U155" i="5"/>
  <c r="T155" i="5"/>
  <c r="S155" i="5"/>
  <c r="R155" i="5"/>
  <c r="Q155" i="5"/>
  <c r="P155" i="5"/>
  <c r="O155" i="5"/>
  <c r="N155" i="5"/>
  <c r="V154" i="5"/>
  <c r="U154" i="5"/>
  <c r="T154" i="5"/>
  <c r="S154" i="5"/>
  <c r="R154" i="5"/>
  <c r="Q154" i="5"/>
  <c r="P154" i="5"/>
  <c r="O154" i="5"/>
  <c r="N154" i="5"/>
  <c r="V153" i="5"/>
  <c r="U153" i="5"/>
  <c r="T153" i="5"/>
  <c r="S153" i="5"/>
  <c r="R153" i="5"/>
  <c r="Q153" i="5"/>
  <c r="P153" i="5"/>
  <c r="O153" i="5"/>
  <c r="N153" i="5"/>
  <c r="V152" i="5"/>
  <c r="U152" i="5"/>
  <c r="T152" i="5"/>
  <c r="S152" i="5"/>
  <c r="R152" i="5"/>
  <c r="Q152" i="5"/>
  <c r="P152" i="5"/>
  <c r="O152" i="5"/>
  <c r="N152" i="5"/>
  <c r="V151" i="5"/>
  <c r="U151" i="5"/>
  <c r="T151" i="5"/>
  <c r="S151" i="5"/>
  <c r="R151" i="5"/>
  <c r="Q151" i="5"/>
  <c r="P151" i="5"/>
  <c r="O151" i="5"/>
  <c r="N151" i="5"/>
  <c r="V150" i="5"/>
  <c r="U150" i="5"/>
  <c r="T150" i="5"/>
  <c r="S150" i="5"/>
  <c r="R150" i="5"/>
  <c r="Q150" i="5"/>
  <c r="P150" i="5"/>
  <c r="O150" i="5"/>
  <c r="N150" i="5"/>
  <c r="V149" i="5"/>
  <c r="U149" i="5"/>
  <c r="T149" i="5"/>
  <c r="S149" i="5"/>
  <c r="R149" i="5"/>
  <c r="Q149" i="5"/>
  <c r="P149" i="5"/>
  <c r="O149" i="5"/>
  <c r="N149" i="5"/>
  <c r="V148" i="5"/>
  <c r="U148" i="5"/>
  <c r="T148" i="5"/>
  <c r="S148" i="5"/>
  <c r="R148" i="5"/>
  <c r="Q148" i="5"/>
  <c r="P148" i="5"/>
  <c r="O148" i="5"/>
  <c r="N148" i="5"/>
  <c r="V147" i="5"/>
  <c r="U147" i="5"/>
  <c r="T147" i="5"/>
  <c r="S147" i="5"/>
  <c r="R147" i="5"/>
  <c r="Q147" i="5"/>
  <c r="P147" i="5"/>
  <c r="O147" i="5"/>
  <c r="N147" i="5"/>
  <c r="V146" i="5"/>
  <c r="U146" i="5"/>
  <c r="T146" i="5"/>
  <c r="S146" i="5"/>
  <c r="R146" i="5"/>
  <c r="Q146" i="5"/>
  <c r="P146" i="5"/>
  <c r="O146" i="5"/>
  <c r="N146" i="5"/>
  <c r="V145" i="5"/>
  <c r="U145" i="5"/>
  <c r="T145" i="5"/>
  <c r="S145" i="5"/>
  <c r="R145" i="5"/>
  <c r="Q145" i="5"/>
  <c r="P145" i="5"/>
  <c r="O145" i="5"/>
  <c r="N145" i="5"/>
  <c r="V144" i="5"/>
  <c r="U144" i="5"/>
  <c r="T144" i="5"/>
  <c r="S144" i="5"/>
  <c r="R144" i="5"/>
  <c r="Q144" i="5"/>
  <c r="P144" i="5"/>
  <c r="O144" i="5"/>
  <c r="N144" i="5"/>
  <c r="V143" i="5"/>
  <c r="U143" i="5"/>
  <c r="T143" i="5"/>
  <c r="S143" i="5"/>
  <c r="R143" i="5"/>
  <c r="Q143" i="5"/>
  <c r="P143" i="5"/>
  <c r="O143" i="5"/>
  <c r="N143" i="5"/>
  <c r="V142" i="5"/>
  <c r="U142" i="5"/>
  <c r="T142" i="5"/>
  <c r="S142" i="5"/>
  <c r="R142" i="5"/>
  <c r="Q142" i="5"/>
  <c r="P142" i="5"/>
  <c r="O142" i="5"/>
  <c r="N142" i="5"/>
  <c r="V141" i="5"/>
  <c r="U141" i="5"/>
  <c r="T141" i="5"/>
  <c r="S141" i="5"/>
  <c r="R141" i="5"/>
  <c r="Q141" i="5"/>
  <c r="P141" i="5"/>
  <c r="O141" i="5"/>
  <c r="N141" i="5"/>
  <c r="V140" i="5"/>
  <c r="U140" i="5"/>
  <c r="T140" i="5"/>
  <c r="S140" i="5"/>
  <c r="R140" i="5"/>
  <c r="Q140" i="5"/>
  <c r="P140" i="5"/>
  <c r="O140" i="5"/>
  <c r="N140" i="5"/>
  <c r="V139" i="5"/>
  <c r="U139" i="5"/>
  <c r="T139" i="5"/>
  <c r="S139" i="5"/>
  <c r="R139" i="5"/>
  <c r="Q139" i="5"/>
  <c r="P139" i="5"/>
  <c r="O139" i="5"/>
  <c r="N139" i="5"/>
  <c r="V138" i="5"/>
  <c r="U138" i="5"/>
  <c r="T138" i="5"/>
  <c r="S138" i="5"/>
  <c r="R138" i="5"/>
  <c r="Q138" i="5"/>
  <c r="P138" i="5"/>
  <c r="O138" i="5"/>
  <c r="N138" i="5"/>
  <c r="V137" i="5"/>
  <c r="U137" i="5"/>
  <c r="T137" i="5"/>
  <c r="S137" i="5"/>
  <c r="R137" i="5"/>
  <c r="Q137" i="5"/>
  <c r="P137" i="5"/>
  <c r="O137" i="5"/>
  <c r="N137" i="5"/>
  <c r="V136" i="5"/>
  <c r="U136" i="5"/>
  <c r="T136" i="5"/>
  <c r="S136" i="5"/>
  <c r="R136" i="5"/>
  <c r="Q136" i="5"/>
  <c r="P136" i="5"/>
  <c r="O136" i="5"/>
  <c r="N136" i="5"/>
  <c r="V135" i="5"/>
  <c r="U135" i="5"/>
  <c r="T135" i="5"/>
  <c r="S135" i="5"/>
  <c r="R135" i="5"/>
  <c r="Q135" i="5"/>
  <c r="P135" i="5"/>
  <c r="O135" i="5"/>
  <c r="N135" i="5"/>
  <c r="V134" i="5"/>
  <c r="U134" i="5"/>
  <c r="T134" i="5"/>
  <c r="S134" i="5"/>
  <c r="R134" i="5"/>
  <c r="Q134" i="5"/>
  <c r="P134" i="5"/>
  <c r="O134" i="5"/>
  <c r="N134" i="5"/>
  <c r="V133" i="5"/>
  <c r="U133" i="5"/>
  <c r="T133" i="5"/>
  <c r="S133" i="5"/>
  <c r="R133" i="5"/>
  <c r="Q133" i="5"/>
  <c r="P133" i="5"/>
  <c r="O133" i="5"/>
  <c r="N133" i="5"/>
  <c r="V132" i="5"/>
  <c r="U132" i="5"/>
  <c r="T132" i="5"/>
  <c r="S132" i="5"/>
  <c r="R132" i="5"/>
  <c r="Q132" i="5"/>
  <c r="P132" i="5"/>
  <c r="O132" i="5"/>
  <c r="N132" i="5"/>
  <c r="V131" i="5"/>
  <c r="U131" i="5"/>
  <c r="T131" i="5"/>
  <c r="S131" i="5"/>
  <c r="R131" i="5"/>
  <c r="Q131" i="5"/>
  <c r="P131" i="5"/>
  <c r="O131" i="5"/>
  <c r="N131" i="5"/>
  <c r="V130" i="5"/>
  <c r="U130" i="5"/>
  <c r="T130" i="5"/>
  <c r="S130" i="5"/>
  <c r="R130" i="5"/>
  <c r="Q130" i="5"/>
  <c r="P130" i="5"/>
  <c r="O130" i="5"/>
  <c r="N130" i="5"/>
  <c r="V129" i="5"/>
  <c r="U129" i="5"/>
  <c r="T129" i="5"/>
  <c r="S129" i="5"/>
  <c r="R129" i="5"/>
  <c r="Q129" i="5"/>
  <c r="P129" i="5"/>
  <c r="O129" i="5"/>
  <c r="N129" i="5"/>
  <c r="V128" i="5"/>
  <c r="U128" i="5"/>
  <c r="T128" i="5"/>
  <c r="S128" i="5"/>
  <c r="R128" i="5"/>
  <c r="Q128" i="5"/>
  <c r="P128" i="5"/>
  <c r="O128" i="5"/>
  <c r="N128" i="5"/>
  <c r="V127" i="5"/>
  <c r="U127" i="5"/>
  <c r="T127" i="5"/>
  <c r="S127" i="5"/>
  <c r="R127" i="5"/>
  <c r="Q127" i="5"/>
  <c r="P127" i="5"/>
  <c r="O127" i="5"/>
  <c r="N127" i="5"/>
  <c r="V126" i="5"/>
  <c r="U126" i="5"/>
  <c r="T126" i="5"/>
  <c r="S126" i="5"/>
  <c r="R126" i="5"/>
  <c r="Q126" i="5"/>
  <c r="P126" i="5"/>
  <c r="O126" i="5"/>
  <c r="N126" i="5"/>
  <c r="V125" i="5"/>
  <c r="U125" i="5"/>
  <c r="T125" i="5"/>
  <c r="S125" i="5"/>
  <c r="R125" i="5"/>
  <c r="Q125" i="5"/>
  <c r="P125" i="5"/>
  <c r="O125" i="5"/>
  <c r="N125" i="5"/>
  <c r="V124" i="5"/>
  <c r="U124" i="5"/>
  <c r="T124" i="5"/>
  <c r="S124" i="5"/>
  <c r="R124" i="5"/>
  <c r="Q124" i="5"/>
  <c r="P124" i="5"/>
  <c r="O124" i="5"/>
  <c r="N124" i="5"/>
  <c r="V123" i="5"/>
  <c r="U123" i="5"/>
  <c r="T123" i="5"/>
  <c r="S123" i="5"/>
  <c r="R123" i="5"/>
  <c r="Q123" i="5"/>
  <c r="P123" i="5"/>
  <c r="O123" i="5"/>
  <c r="N123" i="5"/>
  <c r="V122" i="5"/>
  <c r="U122" i="5"/>
  <c r="T122" i="5"/>
  <c r="S122" i="5"/>
  <c r="R122" i="5"/>
  <c r="Q122" i="5"/>
  <c r="P122" i="5"/>
  <c r="O122" i="5"/>
  <c r="N122" i="5"/>
  <c r="V121" i="5"/>
  <c r="U121" i="5"/>
  <c r="T121" i="5"/>
  <c r="S121" i="5"/>
  <c r="R121" i="5"/>
  <c r="Q121" i="5"/>
  <c r="P121" i="5"/>
  <c r="O121" i="5"/>
  <c r="N121" i="5"/>
  <c r="V120" i="5"/>
  <c r="U120" i="5"/>
  <c r="T120" i="5"/>
  <c r="S120" i="5"/>
  <c r="R120" i="5"/>
  <c r="Q120" i="5"/>
  <c r="P120" i="5"/>
  <c r="O120" i="5"/>
  <c r="N120" i="5"/>
  <c r="V119" i="5"/>
  <c r="U119" i="5"/>
  <c r="T119" i="5"/>
  <c r="S119" i="5"/>
  <c r="R119" i="5"/>
  <c r="Q119" i="5"/>
  <c r="P119" i="5"/>
  <c r="O119" i="5"/>
  <c r="N119" i="5"/>
  <c r="V118" i="5"/>
  <c r="U118" i="5"/>
  <c r="T118" i="5"/>
  <c r="S118" i="5"/>
  <c r="R118" i="5"/>
  <c r="Q118" i="5"/>
  <c r="P118" i="5"/>
  <c r="O118" i="5"/>
  <c r="N118" i="5"/>
  <c r="V117" i="5"/>
  <c r="U117" i="5"/>
  <c r="T117" i="5"/>
  <c r="S117" i="5"/>
  <c r="R117" i="5"/>
  <c r="Q117" i="5"/>
  <c r="P117" i="5"/>
  <c r="O117" i="5"/>
  <c r="N117" i="5"/>
  <c r="V116" i="5"/>
  <c r="U116" i="5"/>
  <c r="T116" i="5"/>
  <c r="S116" i="5"/>
  <c r="R116" i="5"/>
  <c r="Q116" i="5"/>
  <c r="P116" i="5"/>
  <c r="O116" i="5"/>
  <c r="N116" i="5"/>
  <c r="V115" i="5"/>
  <c r="U115" i="5"/>
  <c r="T115" i="5"/>
  <c r="S115" i="5"/>
  <c r="R115" i="5"/>
  <c r="Q115" i="5"/>
  <c r="P115" i="5"/>
  <c r="O115" i="5"/>
  <c r="N115" i="5"/>
  <c r="V114" i="5"/>
  <c r="U114" i="5"/>
  <c r="T114" i="5"/>
  <c r="S114" i="5"/>
  <c r="R114" i="5"/>
  <c r="Q114" i="5"/>
  <c r="P114" i="5"/>
  <c r="O114" i="5"/>
  <c r="N114" i="5"/>
  <c r="V113" i="5"/>
  <c r="U113" i="5"/>
  <c r="T113" i="5"/>
  <c r="S113" i="5"/>
  <c r="R113" i="5"/>
  <c r="Q113" i="5"/>
  <c r="P113" i="5"/>
  <c r="O113" i="5"/>
  <c r="N113" i="5"/>
  <c r="V112" i="5"/>
  <c r="U112" i="5"/>
  <c r="T112" i="5"/>
  <c r="S112" i="5"/>
  <c r="R112" i="5"/>
  <c r="Q112" i="5"/>
  <c r="P112" i="5"/>
  <c r="O112" i="5"/>
  <c r="N112" i="5"/>
  <c r="V111" i="5"/>
  <c r="U111" i="5"/>
  <c r="T111" i="5"/>
  <c r="S111" i="5"/>
  <c r="R111" i="5"/>
  <c r="Q111" i="5"/>
  <c r="P111" i="5"/>
  <c r="O111" i="5"/>
  <c r="N111" i="5"/>
  <c r="V110" i="5"/>
  <c r="U110" i="5"/>
  <c r="T110" i="5"/>
  <c r="S110" i="5"/>
  <c r="R110" i="5"/>
  <c r="Q110" i="5"/>
  <c r="P110" i="5"/>
  <c r="O110" i="5"/>
  <c r="N110" i="5"/>
  <c r="V109" i="5"/>
  <c r="U109" i="5"/>
  <c r="T109" i="5"/>
  <c r="S109" i="5"/>
  <c r="R109" i="5"/>
  <c r="Q109" i="5"/>
  <c r="P109" i="5"/>
  <c r="O109" i="5"/>
  <c r="N109" i="5"/>
  <c r="V108" i="5"/>
  <c r="U108" i="5"/>
  <c r="T108" i="5"/>
  <c r="S108" i="5"/>
  <c r="R108" i="5"/>
  <c r="Q108" i="5"/>
  <c r="P108" i="5"/>
  <c r="O108" i="5"/>
  <c r="N108" i="5"/>
  <c r="V107" i="5"/>
  <c r="U107" i="5"/>
  <c r="T107" i="5"/>
  <c r="S107" i="5"/>
  <c r="R107" i="5"/>
  <c r="Q107" i="5"/>
  <c r="P107" i="5"/>
  <c r="O107" i="5"/>
  <c r="N107" i="5"/>
  <c r="V106" i="5"/>
  <c r="U106" i="5"/>
  <c r="T106" i="5"/>
  <c r="S106" i="5"/>
  <c r="R106" i="5"/>
  <c r="Q106" i="5"/>
  <c r="P106" i="5"/>
  <c r="O106" i="5"/>
  <c r="N106" i="5"/>
  <c r="V105" i="5"/>
  <c r="U105" i="5"/>
  <c r="T105" i="5"/>
  <c r="S105" i="5"/>
  <c r="R105" i="5"/>
  <c r="Q105" i="5"/>
  <c r="P105" i="5"/>
  <c r="O105" i="5"/>
  <c r="N105" i="5"/>
  <c r="V104" i="5"/>
  <c r="U104" i="5"/>
  <c r="T104" i="5"/>
  <c r="S104" i="5"/>
  <c r="R104" i="5"/>
  <c r="Q104" i="5"/>
  <c r="P104" i="5"/>
  <c r="O104" i="5"/>
  <c r="N104" i="5"/>
  <c r="V103" i="5"/>
  <c r="U103" i="5"/>
  <c r="T103" i="5"/>
  <c r="S103" i="5"/>
  <c r="R103" i="5"/>
  <c r="Q103" i="5"/>
  <c r="P103" i="5"/>
  <c r="O103" i="5"/>
  <c r="N103" i="5"/>
  <c r="V102" i="5"/>
  <c r="U102" i="5"/>
  <c r="T102" i="5"/>
  <c r="S102" i="5"/>
  <c r="R102" i="5"/>
  <c r="Q102" i="5"/>
  <c r="P102" i="5"/>
  <c r="O102" i="5"/>
  <c r="N102" i="5"/>
  <c r="V101" i="5"/>
  <c r="U101" i="5"/>
  <c r="T101" i="5"/>
  <c r="S101" i="5"/>
  <c r="R101" i="5"/>
  <c r="Q101" i="5"/>
  <c r="P101" i="5"/>
  <c r="O101" i="5"/>
  <c r="N101" i="5"/>
  <c r="V100" i="5"/>
  <c r="U100" i="5"/>
  <c r="T100" i="5"/>
  <c r="S100" i="5"/>
  <c r="R100" i="5"/>
  <c r="Q100" i="5"/>
  <c r="P100" i="5"/>
  <c r="O100" i="5"/>
  <c r="N100" i="5"/>
  <c r="V99" i="5"/>
  <c r="U99" i="5"/>
  <c r="T99" i="5"/>
  <c r="S99" i="5"/>
  <c r="R99" i="5"/>
  <c r="Q99" i="5"/>
  <c r="P99" i="5"/>
  <c r="O99" i="5"/>
  <c r="N99" i="5"/>
  <c r="V98" i="5"/>
  <c r="U98" i="5"/>
  <c r="T98" i="5"/>
  <c r="S98" i="5"/>
  <c r="R98" i="5"/>
  <c r="Q98" i="5"/>
  <c r="P98" i="5"/>
  <c r="O98" i="5"/>
  <c r="N98" i="5"/>
  <c r="V97" i="5"/>
  <c r="U97" i="5"/>
  <c r="T97" i="5"/>
  <c r="S97" i="5"/>
  <c r="R97" i="5"/>
  <c r="Q97" i="5"/>
  <c r="P97" i="5"/>
  <c r="O97" i="5"/>
  <c r="N97" i="5"/>
  <c r="V96" i="5"/>
  <c r="U96" i="5"/>
  <c r="T96" i="5"/>
  <c r="S96" i="5"/>
  <c r="R96" i="5"/>
  <c r="Q96" i="5"/>
  <c r="P96" i="5"/>
  <c r="O96" i="5"/>
  <c r="N96" i="5"/>
  <c r="V95" i="5"/>
  <c r="U95" i="5"/>
  <c r="T95" i="5"/>
  <c r="S95" i="5"/>
  <c r="R95" i="5"/>
  <c r="Q95" i="5"/>
  <c r="P95" i="5"/>
  <c r="O95" i="5"/>
  <c r="N95" i="5"/>
  <c r="V94" i="5"/>
  <c r="U94" i="5"/>
  <c r="T94" i="5"/>
  <c r="S94" i="5"/>
  <c r="R94" i="5"/>
  <c r="Q94" i="5"/>
  <c r="P94" i="5"/>
  <c r="O94" i="5"/>
  <c r="N94" i="5"/>
  <c r="V93" i="5"/>
  <c r="U93" i="5"/>
  <c r="T93" i="5"/>
  <c r="S93" i="5"/>
  <c r="R93" i="5"/>
  <c r="Q93" i="5"/>
  <c r="P93" i="5"/>
  <c r="O93" i="5"/>
  <c r="N93" i="5"/>
  <c r="V92" i="5"/>
  <c r="U92" i="5"/>
  <c r="T92" i="5"/>
  <c r="S92" i="5"/>
  <c r="R92" i="5"/>
  <c r="Q92" i="5"/>
  <c r="P92" i="5"/>
  <c r="O92" i="5"/>
  <c r="N92" i="5"/>
  <c r="V91" i="5"/>
  <c r="U91" i="5"/>
  <c r="T91" i="5"/>
  <c r="S91" i="5"/>
  <c r="R91" i="5"/>
  <c r="Q91" i="5"/>
  <c r="P91" i="5"/>
  <c r="O91" i="5"/>
  <c r="N91" i="5"/>
  <c r="V90" i="5"/>
  <c r="U90" i="5"/>
  <c r="T90" i="5"/>
  <c r="S90" i="5"/>
  <c r="R90" i="5"/>
  <c r="Q90" i="5"/>
  <c r="P90" i="5"/>
  <c r="O90" i="5"/>
  <c r="N90" i="5"/>
  <c r="V89" i="5"/>
  <c r="U89" i="5"/>
  <c r="T89" i="5"/>
  <c r="S89" i="5"/>
  <c r="R89" i="5"/>
  <c r="Q89" i="5"/>
  <c r="P89" i="5"/>
  <c r="O89" i="5"/>
  <c r="N89" i="5"/>
  <c r="V88" i="5"/>
  <c r="U88" i="5"/>
  <c r="T88" i="5"/>
  <c r="S88" i="5"/>
  <c r="R88" i="5"/>
  <c r="Q88" i="5"/>
  <c r="P88" i="5"/>
  <c r="O88" i="5"/>
  <c r="N88" i="5"/>
  <c r="V87" i="5"/>
  <c r="U87" i="5"/>
  <c r="T87" i="5"/>
  <c r="S87" i="5"/>
  <c r="R87" i="5"/>
  <c r="Q87" i="5"/>
  <c r="P87" i="5"/>
  <c r="O87" i="5"/>
  <c r="N87" i="5"/>
  <c r="V86" i="5"/>
  <c r="U86" i="5"/>
  <c r="T86" i="5"/>
  <c r="S86" i="5"/>
  <c r="R86" i="5"/>
  <c r="Q86" i="5"/>
  <c r="P86" i="5"/>
  <c r="O86" i="5"/>
  <c r="N86" i="5"/>
  <c r="V85" i="5"/>
  <c r="U85" i="5"/>
  <c r="T85" i="5"/>
  <c r="S85" i="5"/>
  <c r="R85" i="5"/>
  <c r="Q85" i="5"/>
  <c r="P85" i="5"/>
  <c r="O85" i="5"/>
  <c r="N85" i="5"/>
  <c r="V84" i="5"/>
  <c r="U84" i="5"/>
  <c r="T84" i="5"/>
  <c r="S84" i="5"/>
  <c r="R84" i="5"/>
  <c r="Q84" i="5"/>
  <c r="P84" i="5"/>
  <c r="O84" i="5"/>
  <c r="N84" i="5"/>
  <c r="V83" i="5"/>
  <c r="U83" i="5"/>
  <c r="T83" i="5"/>
  <c r="S83" i="5"/>
  <c r="R83" i="5"/>
  <c r="Q83" i="5"/>
  <c r="P83" i="5"/>
  <c r="O83" i="5"/>
  <c r="N83" i="5"/>
  <c r="V82" i="5"/>
  <c r="U82" i="5"/>
  <c r="T82" i="5"/>
  <c r="S82" i="5"/>
  <c r="R82" i="5"/>
  <c r="Q82" i="5"/>
  <c r="P82" i="5"/>
  <c r="O82" i="5"/>
  <c r="N82" i="5"/>
  <c r="V81" i="5"/>
  <c r="U81" i="5"/>
  <c r="T81" i="5"/>
  <c r="S81" i="5"/>
  <c r="R81" i="5"/>
  <c r="Q81" i="5"/>
  <c r="P81" i="5"/>
  <c r="O81" i="5"/>
  <c r="N81" i="5"/>
  <c r="V80" i="5"/>
  <c r="U80" i="5"/>
  <c r="T80" i="5"/>
  <c r="S80" i="5"/>
  <c r="R80" i="5"/>
  <c r="Q80" i="5"/>
  <c r="P80" i="5"/>
  <c r="O80" i="5"/>
  <c r="N80" i="5"/>
  <c r="V79" i="5"/>
  <c r="U79" i="5"/>
  <c r="T79" i="5"/>
  <c r="S79" i="5"/>
  <c r="R79" i="5"/>
  <c r="Q79" i="5"/>
  <c r="P79" i="5"/>
  <c r="O79" i="5"/>
  <c r="N79" i="5"/>
  <c r="V78" i="5"/>
  <c r="U78" i="5"/>
  <c r="T78" i="5"/>
  <c r="S78" i="5"/>
  <c r="R78" i="5"/>
  <c r="Q78" i="5"/>
  <c r="P78" i="5"/>
  <c r="O78" i="5"/>
  <c r="N78" i="5"/>
  <c r="V77" i="5"/>
  <c r="U77" i="5"/>
  <c r="T77" i="5"/>
  <c r="S77" i="5"/>
  <c r="R77" i="5"/>
  <c r="Q77" i="5"/>
  <c r="P77" i="5"/>
  <c r="O77" i="5"/>
  <c r="N77" i="5"/>
  <c r="V76" i="5"/>
  <c r="U76" i="5"/>
  <c r="T76" i="5"/>
  <c r="S76" i="5"/>
  <c r="R76" i="5"/>
  <c r="Q76" i="5"/>
  <c r="P76" i="5"/>
  <c r="O76" i="5"/>
  <c r="N76" i="5"/>
  <c r="V75" i="5"/>
  <c r="U75" i="5"/>
  <c r="T75" i="5"/>
  <c r="S75" i="5"/>
  <c r="R75" i="5"/>
  <c r="Q75" i="5"/>
  <c r="P75" i="5"/>
  <c r="O75" i="5"/>
  <c r="N75" i="5"/>
  <c r="V74" i="5"/>
  <c r="U74" i="5"/>
  <c r="T74" i="5"/>
  <c r="S74" i="5"/>
  <c r="R74" i="5"/>
  <c r="Q74" i="5"/>
  <c r="P74" i="5"/>
  <c r="O74" i="5"/>
  <c r="N74" i="5"/>
  <c r="V73" i="5"/>
  <c r="U73" i="5"/>
  <c r="T73" i="5"/>
  <c r="S73" i="5"/>
  <c r="R73" i="5"/>
  <c r="Q73" i="5"/>
  <c r="P73" i="5"/>
  <c r="O73" i="5"/>
  <c r="N73" i="5"/>
  <c r="V72" i="5"/>
  <c r="U72" i="5"/>
  <c r="T72" i="5"/>
  <c r="S72" i="5"/>
  <c r="R72" i="5"/>
  <c r="Q72" i="5"/>
  <c r="P72" i="5"/>
  <c r="O72" i="5"/>
  <c r="N72" i="5"/>
  <c r="V71" i="5"/>
  <c r="U71" i="5"/>
  <c r="T71" i="5"/>
  <c r="S71" i="5"/>
  <c r="R71" i="5"/>
  <c r="Q71" i="5"/>
  <c r="P71" i="5"/>
  <c r="O71" i="5"/>
  <c r="N71" i="5"/>
  <c r="V70" i="5"/>
  <c r="U70" i="5"/>
  <c r="T70" i="5"/>
  <c r="S70" i="5"/>
  <c r="R70" i="5"/>
  <c r="Q70" i="5"/>
  <c r="P70" i="5"/>
  <c r="O70" i="5"/>
  <c r="N70" i="5"/>
  <c r="V69" i="5"/>
  <c r="U69" i="5"/>
  <c r="T69" i="5"/>
  <c r="S69" i="5"/>
  <c r="R69" i="5"/>
  <c r="Q69" i="5"/>
  <c r="P69" i="5"/>
  <c r="O69" i="5"/>
  <c r="N69" i="5"/>
  <c r="V68" i="5"/>
  <c r="U68" i="5"/>
  <c r="T68" i="5"/>
  <c r="S68" i="5"/>
  <c r="R68" i="5"/>
  <c r="Q68" i="5"/>
  <c r="P68" i="5"/>
  <c r="O68" i="5"/>
  <c r="N68" i="5"/>
  <c r="V67" i="5"/>
  <c r="U67" i="5"/>
  <c r="T67" i="5"/>
  <c r="S67" i="5"/>
  <c r="R67" i="5"/>
  <c r="Q67" i="5"/>
  <c r="P67" i="5"/>
  <c r="O67" i="5"/>
  <c r="N67" i="5"/>
  <c r="V66" i="5"/>
  <c r="U66" i="5"/>
  <c r="T66" i="5"/>
  <c r="S66" i="5"/>
  <c r="R66" i="5"/>
  <c r="Q66" i="5"/>
  <c r="P66" i="5"/>
  <c r="O66" i="5"/>
  <c r="N66" i="5"/>
  <c r="V65" i="5"/>
  <c r="U65" i="5"/>
  <c r="T65" i="5"/>
  <c r="S65" i="5"/>
  <c r="R65" i="5"/>
  <c r="Q65" i="5"/>
  <c r="P65" i="5"/>
  <c r="O65" i="5"/>
  <c r="N65" i="5"/>
  <c r="V64" i="5"/>
  <c r="U64" i="5"/>
  <c r="T64" i="5"/>
  <c r="S64" i="5"/>
  <c r="R64" i="5"/>
  <c r="Q64" i="5"/>
  <c r="P64" i="5"/>
  <c r="O64" i="5"/>
  <c r="N64" i="5"/>
  <c r="V63" i="5"/>
  <c r="U63" i="5"/>
  <c r="T63" i="5"/>
  <c r="S63" i="5"/>
  <c r="R63" i="5"/>
  <c r="Q63" i="5"/>
  <c r="P63" i="5"/>
  <c r="O63" i="5"/>
  <c r="N63" i="5"/>
  <c r="V62" i="5"/>
  <c r="U62" i="5"/>
  <c r="T62" i="5"/>
  <c r="S62" i="5"/>
  <c r="R62" i="5"/>
  <c r="Q62" i="5"/>
  <c r="P62" i="5"/>
  <c r="O62" i="5"/>
  <c r="N62" i="5"/>
  <c r="V61" i="5"/>
  <c r="U61" i="5"/>
  <c r="T61" i="5"/>
  <c r="S61" i="5"/>
  <c r="R61" i="5"/>
  <c r="Q61" i="5"/>
  <c r="P61" i="5"/>
  <c r="O61" i="5"/>
  <c r="N61" i="5"/>
  <c r="V60" i="5"/>
  <c r="U60" i="5"/>
  <c r="T60" i="5"/>
  <c r="S60" i="5"/>
  <c r="R60" i="5"/>
  <c r="Q60" i="5"/>
  <c r="P60" i="5"/>
  <c r="O60" i="5"/>
  <c r="N60" i="5"/>
  <c r="V59" i="5"/>
  <c r="U59" i="5"/>
  <c r="T59" i="5"/>
  <c r="S59" i="5"/>
  <c r="R59" i="5"/>
  <c r="Q59" i="5"/>
  <c r="P59" i="5"/>
  <c r="O59" i="5"/>
  <c r="N59" i="5"/>
  <c r="V58" i="5"/>
  <c r="U58" i="5"/>
  <c r="T58" i="5"/>
  <c r="S58" i="5"/>
  <c r="R58" i="5"/>
  <c r="Q58" i="5"/>
  <c r="P58" i="5"/>
  <c r="O58" i="5"/>
  <c r="N58" i="5"/>
  <c r="V57" i="5"/>
  <c r="U57" i="5"/>
  <c r="T57" i="5"/>
  <c r="S57" i="5"/>
  <c r="R57" i="5"/>
  <c r="Q57" i="5"/>
  <c r="P57" i="5"/>
  <c r="O57" i="5"/>
  <c r="N57" i="5"/>
  <c r="V56" i="5"/>
  <c r="U56" i="5"/>
  <c r="T56" i="5"/>
  <c r="S56" i="5"/>
  <c r="R56" i="5"/>
  <c r="Q56" i="5"/>
  <c r="P56" i="5"/>
  <c r="O56" i="5"/>
  <c r="N56" i="5"/>
  <c r="V55" i="5"/>
  <c r="U55" i="5"/>
  <c r="T55" i="5"/>
  <c r="S55" i="5"/>
  <c r="R55" i="5"/>
  <c r="Q55" i="5"/>
  <c r="P55" i="5"/>
  <c r="O55" i="5"/>
  <c r="N55" i="5"/>
  <c r="V54" i="5"/>
  <c r="U54" i="5"/>
  <c r="T54" i="5"/>
  <c r="S54" i="5"/>
  <c r="R54" i="5"/>
  <c r="Q54" i="5"/>
  <c r="P54" i="5"/>
  <c r="O54" i="5"/>
  <c r="N54" i="5"/>
  <c r="V53" i="5"/>
  <c r="U53" i="5"/>
  <c r="T53" i="5"/>
  <c r="S53" i="5"/>
  <c r="R53" i="5"/>
  <c r="Q53" i="5"/>
  <c r="P53" i="5"/>
  <c r="O53" i="5"/>
  <c r="N53" i="5"/>
  <c r="V52" i="5"/>
  <c r="U52" i="5"/>
  <c r="T52" i="5"/>
  <c r="S52" i="5"/>
  <c r="R52" i="5"/>
  <c r="Q52" i="5"/>
  <c r="P52" i="5"/>
  <c r="O52" i="5"/>
  <c r="N52" i="5"/>
  <c r="V51" i="5"/>
  <c r="U51" i="5"/>
  <c r="T51" i="5"/>
  <c r="S51" i="5"/>
  <c r="R51" i="5"/>
  <c r="Q51" i="5"/>
  <c r="P51" i="5"/>
  <c r="O51" i="5"/>
  <c r="N51" i="5"/>
  <c r="V50" i="5"/>
  <c r="U50" i="5"/>
  <c r="T50" i="5"/>
  <c r="S50" i="5"/>
  <c r="R50" i="5"/>
  <c r="Q50" i="5"/>
  <c r="P50" i="5"/>
  <c r="O50" i="5"/>
  <c r="N50" i="5"/>
  <c r="V49" i="5"/>
  <c r="U49" i="5"/>
  <c r="T49" i="5"/>
  <c r="S49" i="5"/>
  <c r="R49" i="5"/>
  <c r="Q49" i="5"/>
  <c r="P49" i="5"/>
  <c r="O49" i="5"/>
  <c r="N49" i="5"/>
  <c r="V48" i="5"/>
  <c r="U48" i="5"/>
  <c r="T48" i="5"/>
  <c r="S48" i="5"/>
  <c r="R48" i="5"/>
  <c r="Q48" i="5"/>
  <c r="P48" i="5"/>
  <c r="O48" i="5"/>
  <c r="N48" i="5"/>
  <c r="V47" i="5"/>
  <c r="U47" i="5"/>
  <c r="T47" i="5"/>
  <c r="S47" i="5"/>
  <c r="R47" i="5"/>
  <c r="Q47" i="5"/>
  <c r="P47" i="5"/>
  <c r="O47" i="5"/>
  <c r="N47" i="5"/>
  <c r="V46" i="5"/>
  <c r="U46" i="5"/>
  <c r="T46" i="5"/>
  <c r="S46" i="5"/>
  <c r="R46" i="5"/>
  <c r="Q46" i="5"/>
  <c r="P46" i="5"/>
  <c r="O46" i="5"/>
  <c r="N46" i="5"/>
  <c r="V45" i="5"/>
  <c r="U45" i="5"/>
  <c r="T45" i="5"/>
  <c r="S45" i="5"/>
  <c r="R45" i="5"/>
  <c r="Q45" i="5"/>
  <c r="P45" i="5"/>
  <c r="O45" i="5"/>
  <c r="N45" i="5"/>
  <c r="V44" i="5"/>
  <c r="U44" i="5"/>
  <c r="T44" i="5"/>
  <c r="S44" i="5"/>
  <c r="R44" i="5"/>
  <c r="Q44" i="5"/>
  <c r="P44" i="5"/>
  <c r="O44" i="5"/>
  <c r="N44" i="5"/>
  <c r="V43" i="5"/>
  <c r="U43" i="5"/>
  <c r="T43" i="5"/>
  <c r="S43" i="5"/>
  <c r="R43" i="5"/>
  <c r="Q43" i="5"/>
  <c r="P43" i="5"/>
  <c r="O43" i="5"/>
  <c r="N43" i="5"/>
  <c r="V42" i="5"/>
  <c r="U42" i="5"/>
  <c r="T42" i="5"/>
  <c r="S42" i="5"/>
  <c r="R42" i="5"/>
  <c r="Q42" i="5"/>
  <c r="P42" i="5"/>
  <c r="O42" i="5"/>
  <c r="N42" i="5"/>
  <c r="V41" i="5"/>
  <c r="U41" i="5"/>
  <c r="T41" i="5"/>
  <c r="S41" i="5"/>
  <c r="R41" i="5"/>
  <c r="Q41" i="5"/>
  <c r="P41" i="5"/>
  <c r="O41" i="5"/>
  <c r="N41" i="5"/>
  <c r="V40" i="5"/>
  <c r="U40" i="5"/>
  <c r="T40" i="5"/>
  <c r="S40" i="5"/>
  <c r="R40" i="5"/>
  <c r="Q40" i="5"/>
  <c r="P40" i="5"/>
  <c r="O40" i="5"/>
  <c r="N40" i="5"/>
  <c r="V39" i="5"/>
  <c r="U39" i="5"/>
  <c r="T39" i="5"/>
  <c r="S39" i="5"/>
  <c r="R39" i="5"/>
  <c r="Q39" i="5"/>
  <c r="P39" i="5"/>
  <c r="O39" i="5"/>
  <c r="N39" i="5"/>
  <c r="V38" i="5"/>
  <c r="U38" i="5"/>
  <c r="T38" i="5"/>
  <c r="S38" i="5"/>
  <c r="R38" i="5"/>
  <c r="Q38" i="5"/>
  <c r="P38" i="5"/>
  <c r="O38" i="5"/>
  <c r="N38" i="5"/>
  <c r="V37" i="5"/>
  <c r="U37" i="5"/>
  <c r="T37" i="5"/>
  <c r="S37" i="5"/>
  <c r="R37" i="5"/>
  <c r="Q37" i="5"/>
  <c r="P37" i="5"/>
  <c r="O37" i="5"/>
  <c r="N37" i="5"/>
  <c r="V36" i="5"/>
  <c r="U36" i="5"/>
  <c r="T36" i="5"/>
  <c r="S36" i="5"/>
  <c r="R36" i="5"/>
  <c r="Q36" i="5"/>
  <c r="P36" i="5"/>
  <c r="O36" i="5"/>
  <c r="N36" i="5"/>
  <c r="V35" i="5"/>
  <c r="U35" i="5"/>
  <c r="T35" i="5"/>
  <c r="S35" i="5"/>
  <c r="R35" i="5"/>
  <c r="Q35" i="5"/>
  <c r="P35" i="5"/>
  <c r="O35" i="5"/>
  <c r="N35" i="5"/>
  <c r="V34" i="5"/>
  <c r="U34" i="5"/>
  <c r="T34" i="5"/>
  <c r="S34" i="5"/>
  <c r="R34" i="5"/>
  <c r="Q34" i="5"/>
  <c r="P34" i="5"/>
  <c r="O34" i="5"/>
  <c r="N34" i="5"/>
  <c r="V33" i="5"/>
  <c r="U33" i="5"/>
  <c r="T33" i="5"/>
  <c r="S33" i="5"/>
  <c r="R33" i="5"/>
  <c r="Q33" i="5"/>
  <c r="P33" i="5"/>
  <c r="O33" i="5"/>
  <c r="N33" i="5"/>
  <c r="V32" i="5"/>
  <c r="U32" i="5"/>
  <c r="T32" i="5"/>
  <c r="S32" i="5"/>
  <c r="R32" i="5"/>
  <c r="Q32" i="5"/>
  <c r="P32" i="5"/>
  <c r="O32" i="5"/>
  <c r="N32" i="5"/>
  <c r="V31" i="5"/>
  <c r="U31" i="5"/>
  <c r="T31" i="5"/>
  <c r="S31" i="5"/>
  <c r="R31" i="5"/>
  <c r="Q31" i="5"/>
  <c r="P31" i="5"/>
  <c r="O31" i="5"/>
  <c r="N31" i="5"/>
  <c r="V30" i="5"/>
  <c r="U30" i="5"/>
  <c r="T30" i="5"/>
  <c r="S30" i="5"/>
  <c r="R30" i="5"/>
  <c r="Q30" i="5"/>
  <c r="P30" i="5"/>
  <c r="O30" i="5"/>
  <c r="N30" i="5"/>
  <c r="V29" i="5"/>
  <c r="U29" i="5"/>
  <c r="T29" i="5"/>
  <c r="S29" i="5"/>
  <c r="R29" i="5"/>
  <c r="Q29" i="5"/>
  <c r="P29" i="5"/>
  <c r="O29" i="5"/>
  <c r="N29" i="5"/>
  <c r="V28" i="5"/>
  <c r="U28" i="5"/>
  <c r="T28" i="5"/>
  <c r="S28" i="5"/>
  <c r="R28" i="5"/>
  <c r="Q28" i="5"/>
  <c r="P28" i="5"/>
  <c r="O28" i="5"/>
  <c r="N28" i="5"/>
  <c r="V27" i="5"/>
  <c r="U27" i="5"/>
  <c r="T27" i="5"/>
  <c r="S27" i="5"/>
  <c r="R27" i="5"/>
  <c r="Q27" i="5"/>
  <c r="P27" i="5"/>
  <c r="O27" i="5"/>
  <c r="N27" i="5"/>
  <c r="V26" i="5"/>
  <c r="U26" i="5"/>
  <c r="T26" i="5"/>
  <c r="S26" i="5"/>
  <c r="R26" i="5"/>
  <c r="Q26" i="5"/>
  <c r="P26" i="5"/>
  <c r="O26" i="5"/>
  <c r="N26" i="5"/>
  <c r="V25" i="5"/>
  <c r="U25" i="5"/>
  <c r="T25" i="5"/>
  <c r="S25" i="5"/>
  <c r="R25" i="5"/>
  <c r="Q25" i="5"/>
  <c r="P25" i="5"/>
  <c r="O25" i="5"/>
  <c r="N25" i="5"/>
  <c r="V24" i="5"/>
  <c r="U24" i="5"/>
  <c r="T24" i="5"/>
  <c r="S24" i="5"/>
  <c r="R24" i="5"/>
  <c r="Q24" i="5"/>
  <c r="P24" i="5"/>
  <c r="O24" i="5"/>
  <c r="N24" i="5"/>
  <c r="V23" i="5"/>
  <c r="U23" i="5"/>
  <c r="T23" i="5"/>
  <c r="S23" i="5"/>
  <c r="R23" i="5"/>
  <c r="Q23" i="5"/>
  <c r="P23" i="5"/>
  <c r="O23" i="5"/>
  <c r="N23" i="5"/>
  <c r="V22" i="5"/>
  <c r="U22" i="5"/>
  <c r="T22" i="5"/>
  <c r="S22" i="5"/>
  <c r="R22" i="5"/>
  <c r="Q22" i="5"/>
  <c r="P22" i="5"/>
  <c r="O22" i="5"/>
  <c r="N22" i="5"/>
  <c r="V21" i="5"/>
  <c r="U21" i="5"/>
  <c r="T21" i="5"/>
  <c r="S21" i="5"/>
  <c r="R21" i="5"/>
  <c r="Q21" i="5"/>
  <c r="P21" i="5"/>
  <c r="O21" i="5"/>
  <c r="N21" i="5"/>
  <c r="V20" i="5"/>
  <c r="U20" i="5"/>
  <c r="T20" i="5"/>
  <c r="S20" i="5"/>
  <c r="R20" i="5"/>
  <c r="Q20" i="5"/>
  <c r="P20" i="5"/>
  <c r="O20" i="5"/>
  <c r="N20" i="5"/>
  <c r="V19" i="5"/>
  <c r="J299" i="5" s="1"/>
  <c r="U19" i="5"/>
  <c r="I299" i="5" s="1"/>
  <c r="T19" i="5"/>
  <c r="H299" i="5" s="1"/>
  <c r="S19" i="5"/>
  <c r="G299" i="5" s="1"/>
  <c r="R19" i="5"/>
  <c r="F299" i="5" s="1"/>
  <c r="Q19" i="5"/>
  <c r="E299" i="5" s="1"/>
  <c r="P19" i="5"/>
  <c r="D299" i="5" s="1"/>
  <c r="O19" i="5"/>
  <c r="C299" i="5" s="1"/>
  <c r="N19" i="5"/>
  <c r="B299" i="5" s="1"/>
  <c r="B9" i="4"/>
  <c r="E9" i="3"/>
  <c r="C29" i="7" s="1"/>
  <c r="B9" i="3"/>
  <c r="B7" i="3"/>
  <c r="B5" i="3"/>
  <c r="H13" i="2"/>
  <c r="F13" i="2"/>
  <c r="H12" i="2"/>
  <c r="F12" i="2"/>
  <c r="B8" i="3" s="1"/>
  <c r="H11" i="2"/>
  <c r="F11" i="2"/>
  <c r="B6" i="3" s="1"/>
  <c r="H10" i="2"/>
  <c r="F10" i="2"/>
  <c r="B8" i="4" s="1"/>
  <c r="H9" i="2"/>
  <c r="F9" i="2"/>
  <c r="B7" i="4" s="1"/>
  <c r="H8" i="2"/>
  <c r="F8" i="2"/>
  <c r="B6" i="4" s="1"/>
  <c r="H7" i="2"/>
  <c r="F7" i="2"/>
  <c r="H6" i="2"/>
  <c r="F6" i="2"/>
  <c r="B5" i="4" s="1"/>
  <c r="H5" i="2"/>
  <c r="F5" i="2"/>
  <c r="F15" i="2" s="1"/>
  <c r="F16" i="2" s="1"/>
  <c r="B51" i="10"/>
  <c r="B52" i="10" s="1"/>
  <c r="G49" i="10"/>
  <c r="F49" i="10"/>
  <c r="B49" i="10"/>
  <c r="A49" i="10"/>
  <c r="G48" i="10"/>
  <c r="F48" i="10"/>
  <c r="B48" i="10"/>
  <c r="A48" i="10"/>
  <c r="G47" i="10"/>
  <c r="F47" i="10"/>
  <c r="B47" i="10"/>
  <c r="A47" i="10"/>
  <c r="G46" i="10"/>
  <c r="F46" i="10"/>
  <c r="I46" i="10" s="1"/>
  <c r="E46" i="10"/>
  <c r="H46" i="10" s="1"/>
  <c r="D46" i="10"/>
  <c r="B46" i="10"/>
  <c r="A46" i="10"/>
  <c r="G45" i="10"/>
  <c r="F45" i="10"/>
  <c r="B45" i="10"/>
  <c r="A45" i="10"/>
  <c r="B33" i="10"/>
  <c r="E48" i="10" s="1"/>
  <c r="H48" i="10" s="1"/>
  <c r="B31" i="10"/>
  <c r="B30" i="10"/>
  <c r="B32" i="10" s="1"/>
  <c r="E49" i="10" s="1"/>
  <c r="H49" i="10" s="1"/>
  <c r="B28" i="10"/>
  <c r="B57" i="10" s="1"/>
  <c r="B27" i="10"/>
  <c r="B29" i="10" s="1"/>
  <c r="E47" i="10" s="1"/>
  <c r="E25" i="10"/>
  <c r="C25" i="10"/>
  <c r="D25" i="10" s="1"/>
  <c r="B25" i="10"/>
  <c r="A25" i="10"/>
  <c r="E24" i="10"/>
  <c r="C24" i="10"/>
  <c r="D24" i="10" s="1"/>
  <c r="B24" i="10"/>
  <c r="A24" i="10"/>
  <c r="E23" i="10"/>
  <c r="C23" i="10"/>
  <c r="D23" i="10" s="1"/>
  <c r="B23" i="10"/>
  <c r="A23" i="10"/>
  <c r="C22" i="10"/>
  <c r="D22" i="10" s="1"/>
  <c r="B22" i="10"/>
  <c r="A22" i="10"/>
  <c r="C21" i="10"/>
  <c r="D21" i="10" s="1"/>
  <c r="B21" i="10"/>
  <c r="A21" i="10"/>
  <c r="I36" i="11" l="1"/>
  <c r="M36" i="11"/>
  <c r="O36" i="11" s="1"/>
  <c r="I35" i="11"/>
  <c r="M35" i="11"/>
  <c r="O35" i="11" s="1"/>
  <c r="I34" i="11"/>
  <c r="M34" i="11"/>
  <c r="O34" i="11" s="1"/>
  <c r="I33" i="11"/>
  <c r="M33" i="11"/>
  <c r="O33" i="11" s="1"/>
  <c r="I32" i="11"/>
  <c r="B37" i="11" s="1"/>
  <c r="M32" i="11"/>
  <c r="O32" i="11" s="1"/>
  <c r="B56" i="8"/>
  <c r="B57" i="8" s="1"/>
  <c r="B58" i="8" s="1"/>
  <c r="B59" i="8"/>
  <c r="I32" i="8"/>
  <c r="H33" i="8"/>
  <c r="D27" i="8"/>
  <c r="G27" i="8"/>
  <c r="G26" i="8"/>
  <c r="D26" i="8"/>
  <c r="D25" i="8"/>
  <c r="G25" i="8"/>
  <c r="D24" i="8"/>
  <c r="G24" i="8"/>
  <c r="D23" i="8"/>
  <c r="G23" i="8"/>
  <c r="D22" i="8"/>
  <c r="G22" i="8"/>
  <c r="D21" i="8"/>
  <c r="G21" i="8"/>
  <c r="D20" i="8"/>
  <c r="G20" i="8"/>
  <c r="G15" i="8"/>
  <c r="C19" i="8"/>
  <c r="I79" i="7"/>
  <c r="G79" i="7"/>
  <c r="C7" i="3"/>
  <c r="D7" i="3"/>
  <c r="B10" i="3"/>
  <c r="C5" i="3"/>
  <c r="D5" i="3"/>
  <c r="I13" i="2"/>
  <c r="J13" i="2" s="1"/>
  <c r="I12" i="2"/>
  <c r="J12" i="2"/>
  <c r="D8" i="3"/>
  <c r="C8" i="3"/>
  <c r="I11" i="2"/>
  <c r="J11" i="2"/>
  <c r="C6" i="3"/>
  <c r="D6" i="3"/>
  <c r="I10" i="2"/>
  <c r="J10" i="2" s="1"/>
  <c r="D8" i="4"/>
  <c r="I9" i="2"/>
  <c r="J9" i="2"/>
  <c r="D7" i="4"/>
  <c r="I8" i="2"/>
  <c r="J8" i="2"/>
  <c r="D6" i="4"/>
  <c r="I7" i="2"/>
  <c r="J7" i="2"/>
  <c r="I6" i="2"/>
  <c r="J6" i="2" s="1"/>
  <c r="C35" i="7"/>
  <c r="B10" i="4"/>
  <c r="D5" i="4"/>
  <c r="I5" i="2"/>
  <c r="H15" i="2"/>
  <c r="C34" i="7"/>
  <c r="J5" i="2"/>
  <c r="B59" i="10"/>
  <c r="B58" i="10"/>
  <c r="H47" i="10"/>
  <c r="I47" i="10"/>
  <c r="E45" i="10"/>
  <c r="D45" i="10"/>
  <c r="D9" i="4"/>
  <c r="I49" i="10"/>
  <c r="I48" i="10"/>
  <c r="D9" i="3"/>
  <c r="I33" i="8" l="1"/>
  <c r="J34" i="8" s="1"/>
  <c r="G19" i="8"/>
  <c r="C28" i="8"/>
  <c r="G28" i="8" s="1"/>
  <c r="D19" i="8"/>
  <c r="B11" i="3"/>
  <c r="B14" i="3"/>
  <c r="I15" i="2"/>
  <c r="J15" i="2"/>
  <c r="E9" i="4"/>
  <c r="G9" i="4" s="1"/>
  <c r="L7" i="2"/>
  <c r="D12" i="5" s="1"/>
  <c r="L8" i="2"/>
  <c r="E12" i="5" s="1"/>
  <c r="E6" i="3"/>
  <c r="E8" i="3"/>
  <c r="H16" i="2"/>
  <c r="E6" i="4"/>
  <c r="E8" i="4"/>
  <c r="E5" i="3"/>
  <c r="E10" i="3" s="1"/>
  <c r="L6" i="2"/>
  <c r="C12" i="5" s="1"/>
  <c r="E7" i="3"/>
  <c r="E5" i="4"/>
  <c r="E10" i="4" s="1"/>
  <c r="L5" i="2"/>
  <c r="E7" i="4"/>
  <c r="L9" i="2"/>
  <c r="F12" i="5" s="1"/>
  <c r="L10" i="2"/>
  <c r="G12" i="5" s="1"/>
  <c r="L11" i="2"/>
  <c r="H12" i="5" s="1"/>
  <c r="L12" i="2"/>
  <c r="I12" i="5" s="1"/>
  <c r="L13" i="2"/>
  <c r="J12" i="5" s="1"/>
  <c r="I45" i="10"/>
  <c r="H45" i="10"/>
  <c r="C10" i="3"/>
  <c r="D10" i="3"/>
  <c r="D11" i="3" s="1"/>
  <c r="D11" i="4"/>
  <c r="B11" i="4"/>
  <c r="C8" i="4"/>
  <c r="C7" i="4"/>
  <c r="C6" i="4"/>
  <c r="C5" i="4"/>
  <c r="C10" i="4" s="1"/>
  <c r="E11" i="4" l="1"/>
  <c r="G6" i="3"/>
  <c r="F6" i="3"/>
  <c r="C25" i="7"/>
  <c r="C26" i="7"/>
  <c r="G8" i="3"/>
  <c r="F8" i="3"/>
  <c r="C27" i="7"/>
  <c r="G10" i="3"/>
  <c r="B15" i="3"/>
  <c r="E11" i="3"/>
  <c r="G11" i="3"/>
  <c r="M5" i="2"/>
  <c r="M16" i="2" s="1"/>
  <c r="M6" i="2"/>
  <c r="M10" i="2"/>
  <c r="M12" i="2"/>
  <c r="M13" i="2"/>
  <c r="M14" i="2"/>
  <c r="D18" i="7"/>
  <c r="M8" i="2"/>
  <c r="M11" i="2"/>
  <c r="G9" i="3"/>
  <c r="M7" i="2"/>
  <c r="M9" i="2"/>
  <c r="F6" i="4"/>
  <c r="F10" i="4" s="1"/>
  <c r="G6" i="4"/>
  <c r="G11" i="4" s="1"/>
  <c r="C73" i="7"/>
  <c r="G8" i="4"/>
  <c r="F8" i="4"/>
  <c r="C75" i="7"/>
  <c r="F5" i="3"/>
  <c r="G5" i="3"/>
  <c r="C23" i="7"/>
  <c r="C24" i="7"/>
  <c r="C28" i="7"/>
  <c r="F7" i="3"/>
  <c r="F10" i="3" s="1"/>
  <c r="G7" i="3"/>
  <c r="G5" i="4"/>
  <c r="C72" i="7"/>
  <c r="F5" i="4"/>
  <c r="C74" i="7"/>
  <c r="F7" i="4"/>
  <c r="G7" i="4"/>
  <c r="K34" i="8"/>
  <c r="H34" i="8"/>
  <c r="B12" i="5"/>
  <c r="L15" i="2"/>
  <c r="D25" i="7" l="1"/>
  <c r="G25" i="7" s="1"/>
  <c r="H25" i="7"/>
  <c r="I25" i="7" s="1"/>
  <c r="D26" i="7"/>
  <c r="G26" i="7" s="1"/>
  <c r="H26" i="7"/>
  <c r="I26" i="7" s="1"/>
  <c r="D27" i="7"/>
  <c r="G27" i="7" s="1"/>
  <c r="H27" i="7"/>
  <c r="I27" i="7" s="1"/>
  <c r="H34" i="7"/>
  <c r="I34" i="7" s="1"/>
  <c r="H35" i="7"/>
  <c r="I35" i="7" s="1"/>
  <c r="D35" i="7"/>
  <c r="G35" i="7" s="1"/>
  <c r="D34" i="7"/>
  <c r="G34" i="7" s="1"/>
  <c r="H64" i="7"/>
  <c r="I64" i="7" s="1"/>
  <c r="H29" i="7"/>
  <c r="I29" i="7" s="1"/>
  <c r="D29" i="7"/>
  <c r="G29" i="7" s="1"/>
  <c r="D36" i="7"/>
  <c r="G36" i="7" s="1"/>
  <c r="H36" i="7"/>
  <c r="I36" i="7" s="1"/>
  <c r="D37" i="7"/>
  <c r="G37" i="7" s="1"/>
  <c r="H37" i="7"/>
  <c r="I37" i="7" s="1"/>
  <c r="D38" i="7"/>
  <c r="G38" i="7" s="1"/>
  <c r="H38" i="7"/>
  <c r="I38" i="7" s="1"/>
  <c r="D39" i="7"/>
  <c r="G39" i="7" s="1"/>
  <c r="H39" i="7"/>
  <c r="I39" i="7" s="1"/>
  <c r="D40" i="7"/>
  <c r="G40" i="7" s="1"/>
  <c r="H40" i="7"/>
  <c r="I40" i="7" s="1"/>
  <c r="H41" i="7"/>
  <c r="I41" i="7" s="1"/>
  <c r="D41" i="7"/>
  <c r="G41" i="7" s="1"/>
  <c r="D42" i="7"/>
  <c r="G42" i="7" s="1"/>
  <c r="H42" i="7"/>
  <c r="I42" i="7" s="1"/>
  <c r="D60" i="7"/>
  <c r="G60" i="7" s="1"/>
  <c r="H60" i="7"/>
  <c r="I60" i="7" s="1"/>
  <c r="H62" i="7"/>
  <c r="I62" i="7" s="1"/>
  <c r="D62" i="7"/>
  <c r="G62" i="7" s="1"/>
  <c r="H63" i="7"/>
  <c r="I63" i="7" s="1"/>
  <c r="D63" i="7"/>
  <c r="G63" i="7" s="1"/>
  <c r="D64" i="7"/>
  <c r="G64" i="7" s="1"/>
  <c r="D59" i="7"/>
  <c r="H61" i="7"/>
  <c r="I61" i="7" s="1"/>
  <c r="D65" i="7"/>
  <c r="D66" i="7"/>
  <c r="D67" i="7"/>
  <c r="D61" i="7"/>
  <c r="G61" i="7" s="1"/>
  <c r="H73" i="7"/>
  <c r="I73" i="7" s="1"/>
  <c r="D73" i="7"/>
  <c r="G73" i="7" s="1"/>
  <c r="H75" i="7"/>
  <c r="I75" i="7" s="1"/>
  <c r="D75" i="7"/>
  <c r="G75" i="7" s="1"/>
  <c r="D23" i="7"/>
  <c r="G23" i="7" s="1"/>
  <c r="H23" i="7"/>
  <c r="I23" i="7" s="1"/>
  <c r="D24" i="7"/>
  <c r="G24" i="7" s="1"/>
  <c r="H24" i="7"/>
  <c r="I24" i="7" s="1"/>
  <c r="D28" i="7"/>
  <c r="G28" i="7" s="1"/>
  <c r="H28" i="7"/>
  <c r="I28" i="7" s="1"/>
  <c r="D72" i="7"/>
  <c r="G72" i="7" s="1"/>
  <c r="H72" i="7"/>
  <c r="I72" i="7" s="1"/>
  <c r="D74" i="7"/>
  <c r="G74" i="7" s="1"/>
  <c r="H74" i="7"/>
  <c r="I74" i="7" s="1"/>
  <c r="I34" i="8"/>
  <c r="B38" i="8"/>
  <c r="B39" i="8" s="1"/>
  <c r="L269" i="5"/>
  <c r="L268" i="5"/>
  <c r="L267" i="5"/>
  <c r="L266" i="5"/>
  <c r="L265" i="5"/>
  <c r="L264" i="5"/>
  <c r="L263" i="5"/>
  <c r="L262" i="5"/>
  <c r="L260" i="5"/>
  <c r="L259" i="5"/>
  <c r="L258" i="5"/>
  <c r="L257" i="5"/>
  <c r="L256" i="5"/>
  <c r="L255" i="5"/>
  <c r="L254" i="5"/>
  <c r="L253" i="5"/>
  <c r="L252" i="5"/>
  <c r="L251" i="5"/>
  <c r="L250" i="5"/>
  <c r="L249" i="5"/>
  <c r="L248" i="5"/>
  <c r="L247" i="5"/>
  <c r="L246" i="5"/>
  <c r="L245" i="5"/>
  <c r="L244" i="5"/>
  <c r="L243" i="5"/>
  <c r="L242" i="5"/>
  <c r="L241" i="5"/>
  <c r="L240" i="5"/>
  <c r="L239" i="5"/>
  <c r="L238" i="5"/>
  <c r="L237" i="5"/>
  <c r="L236" i="5"/>
  <c r="L235" i="5"/>
  <c r="L231" i="5"/>
  <c r="L230" i="5"/>
  <c r="L39" i="5"/>
  <c r="L227" i="5"/>
  <c r="L226" i="5"/>
  <c r="L225" i="5"/>
  <c r="L224" i="5"/>
  <c r="L223" i="5"/>
  <c r="L222" i="5"/>
  <c r="L221" i="5"/>
  <c r="L220" i="5"/>
  <c r="L219" i="5"/>
  <c r="L218" i="5"/>
  <c r="L217" i="5"/>
  <c r="L216" i="5"/>
  <c r="L215" i="5"/>
  <c r="L214" i="5"/>
  <c r="L213" i="5"/>
  <c r="L212" i="5"/>
  <c r="L211" i="5"/>
  <c r="L210" i="5"/>
  <c r="L209" i="5"/>
  <c r="L208" i="5"/>
  <c r="L207" i="5"/>
  <c r="L206" i="5"/>
  <c r="L205" i="5"/>
  <c r="L204" i="5"/>
  <c r="L203" i="5"/>
  <c r="L202" i="5"/>
  <c r="L201" i="5"/>
  <c r="L200" i="5"/>
  <c r="L199" i="5"/>
  <c r="L198" i="5"/>
  <c r="L197" i="5"/>
  <c r="L196" i="5"/>
  <c r="L30" i="5"/>
  <c r="L194" i="5"/>
  <c r="L193" i="5"/>
  <c r="L192" i="5"/>
  <c r="L191" i="5"/>
  <c r="L190" i="5"/>
  <c r="L189" i="5"/>
  <c r="L188" i="5"/>
  <c r="L187" i="5"/>
  <c r="L186" i="5"/>
  <c r="L185" i="5"/>
  <c r="L184" i="5"/>
  <c r="L183" i="5"/>
  <c r="L182" i="5"/>
  <c r="L181" i="5"/>
  <c r="L180" i="5"/>
  <c r="L179" i="5"/>
  <c r="L178" i="5"/>
  <c r="L177" i="5"/>
  <c r="L176" i="5"/>
  <c r="L175" i="5"/>
  <c r="L174" i="5"/>
  <c r="L173" i="5"/>
  <c r="L172" i="5"/>
  <c r="L171" i="5"/>
  <c r="L170" i="5"/>
  <c r="L169" i="5"/>
  <c r="L168" i="5"/>
  <c r="L167" i="5"/>
  <c r="L166" i="5"/>
  <c r="L165" i="5"/>
  <c r="L164" i="5"/>
  <c r="L163" i="5"/>
  <c r="L50" i="5"/>
  <c r="L47" i="5"/>
  <c r="L43" i="5"/>
  <c r="L161" i="5"/>
  <c r="L160" i="5"/>
  <c r="L159" i="5"/>
  <c r="L158" i="5"/>
  <c r="L157" i="5"/>
  <c r="L156" i="5"/>
  <c r="L155" i="5"/>
  <c r="L154" i="5"/>
  <c r="L153" i="5"/>
  <c r="L152" i="5"/>
  <c r="L151" i="5"/>
  <c r="L150" i="5"/>
  <c r="L149" i="5"/>
  <c r="L140" i="5"/>
  <c r="L48" i="5"/>
  <c r="L128" i="5"/>
  <c r="L127" i="5"/>
  <c r="L126" i="5"/>
  <c r="L125" i="5"/>
  <c r="L124" i="5"/>
  <c r="L123" i="5"/>
  <c r="L122" i="5"/>
  <c r="L121" i="5"/>
  <c r="L120" i="5"/>
  <c r="L119" i="5"/>
  <c r="L118" i="5"/>
  <c r="L117" i="5"/>
  <c r="L116" i="5"/>
  <c r="L115" i="5"/>
  <c r="L114" i="5"/>
  <c r="L113" i="5"/>
  <c r="L112" i="5"/>
  <c r="L111" i="5"/>
  <c r="L110" i="5"/>
  <c r="L109" i="5"/>
  <c r="L108" i="5"/>
  <c r="L107" i="5"/>
  <c r="L106" i="5"/>
  <c r="L105" i="5"/>
  <c r="L104" i="5"/>
  <c r="L103" i="5"/>
  <c r="L102" i="5"/>
  <c r="L101" i="5"/>
  <c r="L100" i="5"/>
  <c r="L99" i="5"/>
  <c r="L98" i="5"/>
  <c r="L97" i="5"/>
  <c r="L78" i="5"/>
  <c r="L77" i="5"/>
  <c r="L74" i="5"/>
  <c r="L70" i="5"/>
  <c r="L36" i="5"/>
  <c r="L95" i="5"/>
  <c r="L94" i="5"/>
  <c r="L93" i="5"/>
  <c r="L92" i="5"/>
  <c r="L91" i="5"/>
  <c r="L90" i="5"/>
  <c r="L89" i="5"/>
  <c r="L88" i="5"/>
  <c r="L87" i="5"/>
  <c r="L86" i="5"/>
  <c r="L85" i="5"/>
  <c r="L84" i="5"/>
  <c r="L83" i="5"/>
  <c r="L82" i="5"/>
  <c r="L81" i="5"/>
  <c r="L79" i="5"/>
  <c r="L76" i="5"/>
  <c r="L75" i="5"/>
  <c r="L73" i="5"/>
  <c r="L68" i="5"/>
  <c r="L67" i="5"/>
  <c r="L66" i="5"/>
  <c r="L42" i="5"/>
  <c r="L29" i="5"/>
  <c r="L28" i="5"/>
  <c r="L27" i="5"/>
  <c r="L26" i="5"/>
  <c r="L25" i="5"/>
  <c r="L24" i="5"/>
  <c r="L23" i="5"/>
  <c r="L22" i="5"/>
  <c r="L21" i="5"/>
  <c r="L20" i="5"/>
  <c r="L19" i="5"/>
  <c r="K12" i="5"/>
  <c r="L261" i="5"/>
  <c r="L234" i="5"/>
  <c r="L233" i="5"/>
  <c r="L232" i="5"/>
  <c r="L228" i="5"/>
  <c r="L195" i="5"/>
  <c r="L142" i="5"/>
  <c r="L138" i="5"/>
  <c r="L136" i="5"/>
  <c r="L133" i="5"/>
  <c r="L131" i="5"/>
  <c r="L49" i="5"/>
  <c r="L44" i="5"/>
  <c r="L38" i="5"/>
  <c r="L33" i="5"/>
  <c r="L229" i="5"/>
  <c r="L139" i="5"/>
  <c r="L134" i="5"/>
  <c r="L130" i="5"/>
  <c r="L46" i="5"/>
  <c r="L41" i="5"/>
  <c r="L35" i="5"/>
  <c r="L31" i="5"/>
  <c r="L162" i="5"/>
  <c r="L148" i="5"/>
  <c r="L147" i="5"/>
  <c r="L146" i="5"/>
  <c r="L145" i="5"/>
  <c r="L144" i="5"/>
  <c r="L143" i="5"/>
  <c r="L141" i="5"/>
  <c r="L137" i="5"/>
  <c r="L135" i="5"/>
  <c r="L132" i="5"/>
  <c r="L129" i="5"/>
  <c r="L45" i="5"/>
  <c r="L40" i="5"/>
  <c r="L34" i="5"/>
  <c r="L96" i="5"/>
  <c r="L80" i="5"/>
  <c r="L72" i="5"/>
  <c r="L71" i="5"/>
  <c r="L69" i="5"/>
  <c r="L65" i="5"/>
  <c r="L64" i="5"/>
  <c r="L63" i="5"/>
  <c r="L62" i="5"/>
  <c r="L61" i="5"/>
  <c r="L60" i="5"/>
  <c r="L59" i="5"/>
  <c r="L58" i="5"/>
  <c r="L57" i="5"/>
  <c r="L56" i="5"/>
  <c r="L55" i="5"/>
  <c r="L54" i="5"/>
  <c r="L53" i="5"/>
  <c r="L52" i="5"/>
  <c r="L51" i="5"/>
  <c r="L37" i="5"/>
  <c r="L32" i="5"/>
  <c r="B301" i="5"/>
  <c r="B87" i="7" l="1"/>
  <c r="B88" i="7"/>
  <c r="B86" i="7"/>
  <c r="B290" i="5"/>
  <c r="B291" i="5"/>
  <c r="B293" i="5" s="1"/>
  <c r="B302" i="5" s="1"/>
  <c r="B292" i="5"/>
  <c r="B29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3" authorId="0" shapeId="0" xr:uid="{00000000-0006-0000-0000-000001000000}">
      <text>
        <r>
          <rPr>
            <sz val="11"/>
            <color theme="1"/>
            <rFont val="Calibri"/>
            <family val="2"/>
            <charset val="1"/>
          </rPr>
          <t>Use an independent source (Yahoo Finance web, or your broker).
Do NOT use the system's own latest_prices: a systematic price error would then be inherited by both sides of the comparison, which defeats the purpose of this sheet.
If you do use it, spot-check at least three tickers against an independent source and note that here.</t>
        </r>
      </text>
    </comment>
    <comment ref="B21" authorId="0" shapeId="0" xr:uid="{00000000-0006-0000-0000-000002000000}">
      <text>
        <r>
          <rPr>
            <sz val="11"/>
            <color theme="1"/>
            <rFont val="Calibri"/>
            <family val="2"/>
            <charset val="1"/>
          </rPr>
          <t>Cash is $15,500 = 5.17% of the $300,000 total.</t>
        </r>
      </text>
    </comment>
    <comment ref="B22" authorId="0" shapeId="0" xr:uid="{00000000-0006-0000-0000-000003000000}">
      <text>
        <r>
          <rPr>
            <sz val="11"/>
            <color theme="1"/>
            <rFont val="Calibri"/>
            <family val="2"/>
            <charset val="1"/>
          </rPr>
          <t>Not a rounding decision. Unsectored cost basis is $147,000 = 51.7% of the $284,500 invested, so this choice changes every sector percentage by roughly a factor of two.</t>
        </r>
      </text>
    </comment>
    <comment ref="B26" authorId="0" shapeId="0" xr:uid="{00000000-0006-0000-0000-000004000000}">
      <text>
        <r>
          <rPr>
            <sz val="11"/>
            <color theme="1"/>
            <rFont val="Calibri"/>
            <family val="2"/>
            <charset val="1"/>
          </rPr>
          <t>Five implementations exist: quant/risk_metrics.py:108, backtest/metrics.py:111, tools/analytics_tools.py:67, optimization/base.py:189, and an inline std()*sqrt(252) at backtest/engine.py:523.
Only the analytics_tools one is exposed as a @tool, and it is per-ticker. Benchmark 1.3 asks for PORTFOLIO volatility, which needs weights against the covariance matrix. Easier to answer this after computing it once on the Volatility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4" authorId="0" shapeId="0" xr:uid="{00000000-0006-0000-0100-000001000000}">
      <text>
        <r>
          <rPr>
            <sz val="11"/>
            <color theme="1"/>
            <rFont val="Calibri"/>
            <family val="2"/>
            <charset val="1"/>
          </rPr>
          <t>Cash has no purchase price, so cost basis and market value are the same figure. Source: seed data.</t>
        </r>
      </text>
    </comment>
    <comment ref="H15" authorId="0" shapeId="0" xr:uid="{00000000-0006-0000-0100-000002000000}">
      <text>
        <r>
          <rPr>
            <sz val="11"/>
            <color theme="1"/>
            <rFont val="Calibri"/>
            <family val="2"/>
            <charset val="1"/>
          </rPr>
          <t>Blank until all nine current prices are entered, so partial totals cannot be mistaken for final 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9" authorId="0" shapeId="0" xr:uid="{00000000-0006-0000-0300-000001000000}">
      <text>
        <r>
          <rPr>
            <sz val="11"/>
            <color theme="1"/>
            <rFont val="Calibri"/>
            <family val="2"/>
            <charset val="1"/>
          </rPr>
          <t>SPY, TLT, GLD and VNQ. These are funds with no single sector in the seed data. A real sector allocation would look through SPY to its constituents; that is out of scope, so these figures describe the holdings, not the underlying economic exposure.</t>
        </r>
      </text>
    </comment>
    <comment ref="B14" authorId="0" shapeId="0" xr:uid="{00000000-0006-0000-0300-000002000000}">
      <text>
        <r>
          <rPr>
            <sz val="11"/>
            <color theme="1"/>
            <rFont val="Calibri"/>
            <family val="2"/>
            <charset val="1"/>
          </rPr>
          <t>Case 1.4 passes on completeness, so name the positions, not just the percentage.
Also decide: does a correct answer mention that roughly half the portfolio has no sector at all? An answer that silently reports Technology as 58% of a $137,500 denominator, when the portfolio is $284,500, is misleading without that caveat.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7" authorId="0" shapeId="0" xr:uid="{00000000-0006-0000-0400-000001000000}">
      <text>
        <r>
          <rPr>
            <sz val="11"/>
            <color theme="1"/>
            <rFont val="Calibri"/>
            <family val="2"/>
            <charset val="1"/>
          </rPr>
          <t>Record which you used. The sheet below computes both (sample and population) so the difference is visible; with ~250 observations it is negligible, but D5/D6/D7 require the basis to be stated.</t>
        </r>
      </text>
    </comment>
    <comment ref="B8" authorId="0" shapeId="0" xr:uid="{00000000-0006-0000-0400-000002000000}">
      <text>
        <r>
          <rPr>
            <sz val="11"/>
            <color theme="1"/>
            <rFont val="Calibri"/>
            <family val="2"/>
            <charset val="1"/>
          </rPr>
          <t>Weights of INVESTED, so they sum to 100% across the nine positions.
If D2 includes cash in the denominator: cash has zero volatility and zero correlation, so the portfolio volatility including cash equals the figure below multiplied by the invested fraction (94.83% at cost basis). Record which you report.</t>
        </r>
      </text>
    </comment>
    <comment ref="B302" authorId="0" shapeId="0" xr:uid="{00000000-0006-0000-0400-000003000000}">
      <text>
        <r>
          <rPr>
            <sz val="11"/>
            <color theme="1"/>
            <rFont val="Calibri"/>
            <family val="2"/>
            <charset val="1"/>
          </rPr>
          <t>Portfolio volatility must be below the weighted average of the individual volatilities unless every position is perfectly correlated. If it is not, the weights, the returns, or the alignment of the price columns is wrong.</t>
        </r>
      </text>
    </comment>
  </commentList>
</comments>
</file>

<file path=xl/sharedStrings.xml><?xml version="1.0" encoding="utf-8"?>
<sst xmlns="http://schemas.openxmlformats.org/spreadsheetml/2006/main" count="806" uniqueCount="440">
  <si>
    <t>Part 10 — The philosophy check against docs/PHILOSOPHY.md</t>
  </si>
  <si>
    <t>Synthetic figures for candidate W-1 (docs/WATCHLIST.md), typed inputs in bold as on the Compliance sheet; everything else computes. Reference for the checker's arithmetic, not for the company. As-of 2026-09-10; FY2021 to FY2025 reported by then (D21). Filed dates are synthetic, about five weeks after each year end; D21 counts a year by them.</t>
  </si>
  <si>
    <t>D22: a clause over n years is one finding decided by the worst year (MIN for a floor, MAX for a ceiling). D23: exactly at the limit passes; status formulas use strict &lt; and &gt;. D24: one formula per metric key, as in Part 10 B. D25: a missing figure stops the whole check, not modelled as a formula.</t>
  </si>
  <si>
    <t>Distance is signed so that positive = failure: limit − observed against a floor, observed − limit against a ceiling, in the metric's own unit.</t>
  </si>
  <si>
    <t>A. Reported figures, USD millions</t>
  </si>
  <si>
    <t>FY</t>
  </si>
  <si>
    <t>Ends</t>
  </si>
  <si>
    <t>Filed</t>
  </si>
  <si>
    <t>Revenue</t>
  </si>
  <si>
    <t>Gross profit</t>
  </si>
  <si>
    <t>Operating income</t>
  </si>
  <si>
    <t>Tax rate</t>
  </si>
  <si>
    <t>D&amp;A</t>
  </si>
  <si>
    <t>Operating cash flow</t>
  </si>
  <si>
    <t>Capex</t>
  </si>
  <si>
    <t>Equity</t>
  </si>
  <si>
    <t>Debt</t>
  </si>
  <si>
    <t>Cash</t>
  </si>
  <si>
    <t>FY2021</t>
  </si>
  <si>
    <t>2021-12-31</t>
  </si>
  <si>
    <t>2022-02-04</t>
  </si>
  <si>
    <t>FY2022</t>
  </si>
  <si>
    <t>2022-12-31</t>
  </si>
  <si>
    <t>2023-02-03</t>
  </si>
  <si>
    <t>FY2023</t>
  </si>
  <si>
    <t>2023-12-31</t>
  </si>
  <si>
    <t>2024-02-02</t>
  </si>
  <si>
    <t>FY2024</t>
  </si>
  <si>
    <t>2024-12-31</t>
  </si>
  <si>
    <t>2025-02-05</t>
  </si>
  <si>
    <t>FY2025</t>
  </si>
  <si>
    <t>2025-12-31</t>
  </si>
  <si>
    <t>2026-02-04</t>
  </si>
  <si>
    <t>Shares outstanding (millions)</t>
  </si>
  <si>
    <t>Price, as of 2026-09-10</t>
  </si>
  <si>
    <t>Valuation range low, as of 2026-09-10</t>
  </si>
  <si>
    <t>Valuation range high, as of 2026-09-10</t>
  </si>
  <si>
    <t>C. Metrics by year (Part 10 B formulas)</t>
  </si>
  <si>
    <t>Invested capital</t>
  </si>
  <si>
    <t>NOPAT</t>
  </si>
  <si>
    <t>ROIC</t>
  </si>
  <si>
    <t>Gross margin</t>
  </si>
  <si>
    <t>FY2025 net debt</t>
  </si>
  <si>
    <t>FY2025 EBITDA</t>
  </si>
  <si>
    <t>net_debt_to_ebitda</t>
  </si>
  <si>
    <t>FY2025 free cash flow</t>
  </si>
  <si>
    <t>Market value at the as-of price</t>
  </si>
  <si>
    <t>free_cash_flow_yield</t>
  </si>
  <si>
    <t>Discount to the low end of the range</t>
  </si>
  <si>
    <t>Limits from docs/PHILOSOPHY.md</t>
  </si>
  <si>
    <t>Clause</t>
  </si>
  <si>
    <t>Metric</t>
  </si>
  <si>
    <t>Bound</t>
  </si>
  <si>
    <t>Limit</t>
  </si>
  <si>
    <t>Years</t>
  </si>
  <si>
    <t>Source</t>
  </si>
  <si>
    <t>PHI-2.1</t>
  </si>
  <si>
    <t>return_on_invested_capital</t>
  </si>
  <si>
    <t>min</t>
  </si>
  <si>
    <t>docs/PHILOSOPHY.md</t>
  </si>
  <si>
    <t>PHI-2.2</t>
  </si>
  <si>
    <t>gross_margin</t>
  </si>
  <si>
    <t>PHI-3.1</t>
  </si>
  <si>
    <t>max</t>
  </si>
  <si>
    <t>PHI-4.1</t>
  </si>
  <si>
    <t>discount to the low end of the range</t>
  </si>
  <si>
    <t>PHI-4.2</t>
  </si>
  <si>
    <t>D. Findings</t>
  </si>
  <si>
    <t>Years read</t>
  </si>
  <si>
    <t>Deciding year</t>
  </si>
  <si>
    <t>Observed</t>
  </si>
  <si>
    <t>Status</t>
  </si>
  <si>
    <t>Distance</t>
  </si>
  <si>
    <t>FY2021 to FY2025</t>
  </si>
  <si>
    <t>FY2023 to FY2025</t>
  </si>
  <si>
    <t>as of 2026-09-10</t>
  </si>
  <si>
    <t>PHI-4.1 the other way: the most I would pay</t>
  </si>
  <si>
    <t>Price over that</t>
  </si>
  <si>
    <t>E. Falsifier row, D23: FY2025 with debt 120,000 and cash 16,000</t>
  </si>
  <si>
    <t>Status against PHI-3.1</t>
  </si>
  <si>
    <t>D25 (a missing FY2024 gross profit stops the whole check) and D21 (a year not yet filed is not a year) are stated in Part 10 E and are not spreadsheet formulas.</t>
  </si>
  <si>
    <t>Expected values — Benchmark Portfolio (portfolio_id 3)</t>
  </si>
  <si>
    <t>Roadmap 0.2. Computed BY HAND, before the capabilities exist, so there is an independent reference to check them against.</t>
  </si>
  <si>
    <t>Do NOT update these numbers to match code output. If the code disagrees, one of the two is wrong and that must be resolved deliberately.</t>
  </si>
  <si>
    <t>HOW TO USE THIS WORKBOOK</t>
  </si>
  <si>
    <t>Yellow cells</t>
  </si>
  <si>
    <t>You fill these in. Everything else is a formula and recalculates.</t>
  </si>
  <si>
    <t>Blue text</t>
  </si>
  <si>
    <t>Hardcoded input taken from the seed data.</t>
  </si>
  <si>
    <t>Black text</t>
  </si>
  <si>
    <t>Formula.</t>
  </si>
  <si>
    <t>Order of work</t>
  </si>
  <si>
    <t>1) Decisions below  2) Positions  3) Allocation sheets  4) Volatility  5) Answers</t>
  </si>
  <si>
    <t>Provenance</t>
  </si>
  <si>
    <t>Computed on</t>
  </si>
  <si>
    <t>03.09.2026 18:38 (Berlin)</t>
  </si>
  <si>
    <t>Price source</t>
  </si>
  <si>
    <t>Yahoo Finance via Yfinance</t>
  </si>
  <si>
    <t>Price as-of date</t>
  </si>
  <si>
    <t>Part 0 — Decisions</t>
  </si>
  <si>
    <t>These are the point of the exercise. Each is a choice the code has to encode somewhere, and it is better made here than accidentally inside an agent.</t>
  </si>
  <si>
    <t>#</t>
  </si>
  <si>
    <t>Decision</t>
  </si>
  <si>
    <t>Choice</t>
  </si>
  <si>
    <t>Why</t>
  </si>
  <si>
    <t>D1</t>
  </si>
  <si>
    <t>Allocation by market value or cost basis?</t>
  </si>
  <si>
    <t>market value</t>
  </si>
  <si>
    <t>Allocation means current exposure. Cost-basis allocation tells you what you paid, which is irrelevant to risk. Every professional report uses market value, and IPS limits are written against it. Cost basis matters only for P&amp;L and tax lots.</t>
  </si>
  <si>
    <t>D2</t>
  </si>
  <si>
    <t>Does cash count in the allocation denominator?</t>
  </si>
  <si>
    <t>include cash</t>
  </si>
  <si>
    <t>Cash is an asset class and holding it is a positioning decision. If you're 20% cash, saying "equities are 79% of invested" hides that. Benchmark 2.1 checks concentration against your IPS, and IPS limits are expressed against total portfolio value. Denominator = total including cash.</t>
  </si>
  <si>
    <t>D3</t>
  </si>
  <si>
    <t>Are unsectored holdings reported explicitly, or excluded from the sector denominator?</t>
  </si>
  <si>
    <t>Report explicitly, denominator = total invested.</t>
  </si>
  <si>
    <t>This is the one where the wrong choice is actively misleading. "Technology is 58%" is true only against the $137,500 sectored subset; against the portfolio it's 28%. With 51.7% unsectored, silently dropping it inflates every sector figure roughly twofold. Report (no sector) 51.67% as its own line so the percentages sum to 100%. Your own principles point the same way, and Part 3b's "what it did not do" has a natural place for it.</t>
  </si>
  <si>
    <t>D4</t>
  </si>
  <si>
    <t>Is P&amp;L total return or price return?</t>
  </si>
  <si>
    <t>price return</t>
  </si>
  <si>
    <t>This one is forced by the data model, not chosen: Dividend has no portfolio_id, so no dividend can be attributed to a portfolio. Total return isn't computable today. The honest move is to compute price return and say so in the output. It also becomes a schema to-do — JNJ, JPM, NEE, VNQ and TLT all pay, so the understatement is material.</t>
  </si>
  <si>
    <t>D5</t>
  </si>
  <si>
    <t>Volatility on daily or weekly returns?</t>
  </si>
  <si>
    <t>daily</t>
  </si>
  <si>
    <t>~250 observations over twelve months versus ~52 weekly. Weekly reduces microstructure noise but 52 points is a thin estimate.</t>
  </si>
  <si>
    <t>D6</t>
  </si>
  <si>
    <t>Annualisation factor?</t>
  </si>
  <si>
    <t>Must match D5. (Weekly would be 52.)</t>
  </si>
  <si>
    <t>D7</t>
  </si>
  <si>
    <t>Which of the five volatility implementations is canonical?</t>
  </si>
  <si>
    <t>quant/risk_metrics.py is canonical for return-series volatility. A new portfolio_volatility(weights, cov_matrix) goes there too, since none of the five computes portfolio-level vol. analytics_tools.py and optimization/base.py delegate to it. backtest/metrics.py and the inline engine.py:523 are scoped backtest-internal, not general-purpose.</t>
  </si>
  <si>
    <t>Note on D5/D6/D7</t>
  </si>
  <si>
    <t>Benchmark 1.3 passes when the basis of calculation is traceable, so the expected answer must carry D5, D6 and the window — not just the number.</t>
  </si>
  <si>
    <t>Part 1 — Positions</t>
  </si>
  <si>
    <t>Fill in column G (current price). Everything else computes. Cost basis follows mechanically from the seed data.</t>
  </si>
  <si>
    <t>Ticker</t>
  </si>
  <si>
    <t>Asset class</t>
  </si>
  <si>
    <t>Sector</t>
  </si>
  <si>
    <t>Qty</t>
  </si>
  <si>
    <t>Avg price ($)</t>
  </si>
  <si>
    <t>Cost basis ($)</t>
  </si>
  <si>
    <t>Current price ($)</t>
  </si>
  <si>
    <t>Market value ($)</t>
  </si>
  <si>
    <t>P&amp;L abs ($)</t>
  </si>
  <si>
    <t>P&amp;L %</t>
  </si>
  <si>
    <t>Purchase date</t>
  </si>
  <si>
    <t>Wt. of invested</t>
  </si>
  <si>
    <t>Wt. of total</t>
  </si>
  <si>
    <t>SPY</t>
  </si>
  <si>
    <t>(none)</t>
  </si>
  <si>
    <t>2024-01-15</t>
  </si>
  <si>
    <t>AAPL</t>
  </si>
  <si>
    <t>Technology</t>
  </si>
  <si>
    <t>2024-02-20</t>
  </si>
  <si>
    <t>MSFT</t>
  </si>
  <si>
    <t>2024-03-18</t>
  </si>
  <si>
    <t>JNJ</t>
  </si>
  <si>
    <t>Healthcare</t>
  </si>
  <si>
    <t>2024-05-06</t>
  </si>
  <si>
    <t>JPM</t>
  </si>
  <si>
    <t>Financials</t>
  </si>
  <si>
    <t>2024-07-15</t>
  </si>
  <si>
    <t>NEE</t>
  </si>
  <si>
    <t>Utilities</t>
  </si>
  <si>
    <t>2024-09-09</t>
  </si>
  <si>
    <t>TLT</t>
  </si>
  <si>
    <t>Fixed Income</t>
  </si>
  <si>
    <t>2025-01-13</t>
  </si>
  <si>
    <t>GLD</t>
  </si>
  <si>
    <t>Commodity</t>
  </si>
  <si>
    <t>2025-03-10</t>
  </si>
  <si>
    <t>VNQ</t>
  </si>
  <si>
    <t>Real Estate</t>
  </si>
  <si>
    <t>2025-06-02</t>
  </si>
  <si>
    <t>CASH</t>
  </si>
  <si>
    <t>Total invested</t>
  </si>
  <si>
    <t>Total incl. cash</t>
  </si>
  <si>
    <t>Benchmark 1.2 — chosen position</t>
  </si>
  <si>
    <t>Ticker chosen</t>
  </si>
  <si>
    <t>Case 1.2 asks about one position and requires the purchase date to be named. Write the full expected answer on the 'Answers' sheet.</t>
  </si>
  <si>
    <t>Part 2 — Allocation by asset class</t>
  </si>
  <si>
    <t>All computed from the Positions sheet. Whichever pair D1 and D2 select is the answer benchmark case 1.1 must produce.</t>
  </si>
  <si>
    <t>% of invested</t>
  </si>
  <si>
    <t>% of total incl. cash</t>
  </si>
  <si>
    <t>n/a</t>
  </si>
  <si>
    <t>Tie-out check</t>
  </si>
  <si>
    <t>Cost basis vs Positions total</t>
  </si>
  <si>
    <t>Market value vs Positions total</t>
  </si>
  <si>
    <t>Part 3 — Allocation by sector</t>
  </si>
  <si>
    <t>D3 decides whether the '(no sector)' row is reported explicitly or excluded from the denominator. Both denominators are shown so the difference is visible.</t>
  </si>
  <si>
    <t>% of sectored</t>
  </si>
  <si>
    <t>(no sector)</t>
  </si>
  <si>
    <t>Sectored total</t>
  </si>
  <si>
    <t>Invested total</t>
  </si>
  <si>
    <t>Benchmark 1.4 — expected answer for Technology</t>
  </si>
  <si>
    <t>Positions in Technology</t>
  </si>
  <si>
    <t>AAPL — 200 shares @ 324.96 = 64,992.00 (16.47% of invested)
MSFT — 100 shares @ 496.82 = 49,682.00 (12.59% of invested)
Technology total 114,674.00 — 29.05% of invested, 27.96% incl. cash, 55.08% of the sectored subset</t>
  </si>
  <si>
    <t>Does the answer have to flag the unsectored half?</t>
  </si>
  <si>
    <t>Yes. 47.25% of invested value (186,503.00 — SPY, TLT, GLD, VNQ) carries no sector. Reporting "Technology is 29%" without that leads the reader to assume the remaining 71% is distributed across other sectors, which is false — the other three sectors total only 23.7%. Under D3 the unsectored line is reported explicitly so the figures sum to 100%.</t>
  </si>
  <si>
    <t>Part 4 — Twelve-month portfolio volatility</t>
  </si>
  <si>
    <t>Do NOT average the per-ticker volatilities: that ignores correlation and will be wrong. Do NOT use the covariance matrix the system produced: if it is wrong, both sides of the comparison inherit the same error.</t>
  </si>
  <si>
    <t>Method: build the portfolio's own return series. Mathematically equivalent to the covariance quadratic form and far easier here.</t>
  </si>
  <si>
    <t>Inputs</t>
  </si>
  <si>
    <t>Annualisation factor (D6)</t>
  </si>
  <si>
    <t>Std dev basis</t>
  </si>
  <si>
    <t>STDEV.S</t>
  </si>
  <si>
    <t>Weights source</t>
  </si>
  <si>
    <t>Market-value weights of invested (Positions col L)</t>
  </si>
  <si>
    <t>Weights (from Positions, market value)</t>
  </si>
  <si>
    <t>Sum</t>
  </si>
  <si>
    <t>Weight</t>
  </si>
  <si>
    <t>Daily closes — paste 12 months of adjusted closes below</t>
  </si>
  <si>
    <t>Paste dates in column A and closes in B:J, oldest first. Returns and the portfolio series compute automatically. Rows beyond your data stay blank.</t>
  </si>
  <si>
    <t>Date</t>
  </si>
  <si>
    <t>Portfolio daily return</t>
  </si>
  <si>
    <t>SPY ret</t>
  </si>
  <si>
    <t>AAPL ret</t>
  </si>
  <si>
    <t>MSFT ret</t>
  </si>
  <si>
    <t>JNJ ret</t>
  </si>
  <si>
    <t>JPM ret</t>
  </si>
  <si>
    <t>NEE ret</t>
  </si>
  <si>
    <t>TLT ret</t>
  </si>
  <si>
    <t>GLD ret</t>
  </si>
  <si>
    <t>VNQ ret</t>
  </si>
  <si>
    <t>Results</t>
  </si>
  <si>
    <t>Trading days in window</t>
  </si>
  <si>
    <t>Daily std dev (sample)</t>
  </si>
  <si>
    <t>Daily std dev (population)</t>
  </si>
  <si>
    <t>ANNUALISED PORTFOLIO VOLATILITY (sample)</t>
  </si>
  <si>
    <t>Annualised (population)</t>
  </si>
  <si>
    <t>Sanity check</t>
  </si>
  <si>
    <t>Per-ticker annualised volatility</t>
  </si>
  <si>
    <t>Ann. vol</t>
  </si>
  <si>
    <t>Weighted average of individual vols</t>
  </si>
  <si>
    <t>Portfolio vol below weighted average?</t>
  </si>
  <si>
    <t>Part 5 — Expected answers, written out</t>
  </si>
  <si>
    <t>In the shape benchmark.md Part 3b requires: the result in the units asked for, the data age as an as-of date, the source for any policy claim, and what it did not do.</t>
  </si>
  <si>
    <t>Case</t>
  </si>
  <si>
    <t>Prompt</t>
  </si>
  <si>
    <t>Expected answer (write out in full)</t>
  </si>
  <si>
    <t>1.1</t>
  </si>
  <si>
    <t>What is my current allocation by asset class?</t>
  </si>
  <si>
    <t>Your portfolio is 410,200.50 as of the 2026-09-02 close, allocated by market value as:
  Equity          284,713.50   69.41%
  Fixed Income     40,975.00    9.99%
  Commodity        40,278.00    9.82%
  Real Estate      28,734.00    7.00%
  Cash             15,500.00    3.78%
Prices are the 2026-09-02 settled close, the most recent available. Percentages are of total portfolio value including the cash balance (D1: market value; D2: cash included). Excluding cash, Equity is 72.13% of the 394,700.50 invested.
Not done: asset class comes from the assets table, not a live classification service. No look-through — SPY, TLT, GLD and VNQ are counted at fund level, so this describes what you hold, not the underlying economic exposure.</t>
  </si>
  <si>
    <t>1.2</t>
  </si>
  <si>
    <t>How has position X performed since purchase?</t>
  </si>
  <si>
    <t>JPM is up 15,622.00, or 78.11%, since you bought it on 2024-07-15.
  Purchased   100 shares at an average 200.00 = 20,000.00 on 2024-07-15
  Now         100 shares at 356.22            = 35,622.00
  Gain        +15,622.00  (+78.11%)
Price as of the 2026-09-02 settled close. Cost basis is the average_price recorded on the holding.
Not done: this is price return only, not total return (D4). JPM pays a dividend and none of it is counted here, because dividends are stored without a portfolio_id and cannot be attributed to a holding. Actual return is higher by an amount this system cannot currently compute. Nor does it account for a position built in tranches — one purchase date and one average price are all the holding records.</t>
  </si>
  <si>
    <t>1.3</t>
  </si>
  <si>
    <t>What is my volatility over twelve months?</t>
  </si>
  <si>
    <t>Your portfolio's annualised volatility over the past twelve months is 10.29%.
  Method      standard deviation of the portfolio's own daily returns
  Weights     market value of invested assets at the 2026-09-02 close, cash excluded
  Window      2025-09-03 to 2026-09-02, 251 daily returns from 252 closes
  Statistic   sample standard deviation, 0.00648436 daily
  Annualised  x SQRT(252)
This is portfolio volatility, not an average of the individual holdings. Those average 20.54% weighted; the portfolio is far below that because the holdings are imperfectly correlated — TLT at 9.55% and GLD at 29.21% move largely independently of the equity block.
Not done: cash is excluded from the weights. Including it, since cash has no volatility, gives 9.90% against total portfolio value. Twelve months of daily data is one estimate from one window and says nothing about volatility in a different regime.</t>
  </si>
  <si>
    <t>1.4</t>
  </si>
  <si>
    <t>What positions do I hold in sector Y?</t>
  </si>
  <si>
    <t>You hold 2 positions in Technology, worth 114,674.00, 29.05% of invested assets.
  AAPL   200 shares at 324.96   64,992.00   16.47%
  MSFT   100 shares at 496.82   49,682.00   12.59%
Prices as of the 2026-09-02 settled close. Percentages are of invested market value (394,700.50); against total portfolio value including cash the figure is 27.96%.
Important: 47.25% of invested value (186,503.00 — SPY, TLT, GLD and VNQ) carries no sector classification at all. Technology is 55.08% of the classified portion. The other classified sectors are Healthcare 10.46%, Financials 9.03% and Utilities 4.21% of invested.
Not done: no look-through into fund constituents. SPY holds a substantial technology weight that is not counted here, so true technology exposure is materially higher than 29.05%. Sector data comes from the assets table.</t>
  </si>
  <si>
    <t>Part 6 — What these values do not cover</t>
  </si>
  <si>
    <t>Price return only, not total return</t>
  </si>
  <si>
    <t>Dividends live in a table with no portfolio_id, so no dividend can be attributed to a portfolio. Any P&amp;L here understates actual return on the dividend-paying positions (JNJ, JPM, NEE, VNQ and TLT in particular).</t>
  </si>
  <si>
    <t>Single purchase date per position</t>
  </si>
  <si>
    <t>PortfolioHolding carries one purchase_date and one average_price, which cannot represent a position built in tranches. Fine for this synthetic portfolio, where each position was a single purchase. Not fine for a real portfolio with savings plans or DRIP.</t>
  </si>
  <si>
    <t>Single currency</t>
  </si>
  <si>
    <t>Everything here is USD. There is no FX conversion anywhere in the codebase, so these values say nothing about whether a multi-currency portfolio would compute correctly.</t>
  </si>
  <si>
    <t>No look-through</t>
  </si>
  <si>
    <t>SPY, TLT, GLD and VNQ are treated as having no sector. A real sector allocation would decompose SPY into its constituents. Out of scope, but it means the sector figures describe the holdings, not the underlying economic exposure.</t>
  </si>
  <si>
    <t>Part 7 — Compliance against docs/IPS.md</t>
  </si>
  <si>
    <t>Every share is market value / total portfolio value incl. cash (Positions!H16), per D1 and D2 and per the IPS header. Limits are typed in from docs/IPS.md (blue). Everything else links or computes.</t>
  </si>
  <si>
    <t>D9: a figure exactly at a limit passes. "No more than 12%" admits 12.00%; "no less than 3%" admits 3.00%. Status formulas use strict &gt; and &lt;. Do not round before comparing — MSFT and JNJ are the rows that catch a checker that does.</t>
  </si>
  <si>
    <t>Distance to limit is signed so that positive = breach, negative = headroom. In dollars: market value − limit × total (max bound) or limit × total − market value (min bound). As a fraction: dollars / total.</t>
  </si>
  <si>
    <t>Limits from docs/IPS.md</t>
  </si>
  <si>
    <t>What</t>
  </si>
  <si>
    <t>IPS-3.1</t>
  </si>
  <si>
    <t>docs/IPS.md</t>
  </si>
  <si>
    <t>IPS-3.2</t>
  </si>
  <si>
    <t>IPS-3.3</t>
  </si>
  <si>
    <t>IPS-3.4</t>
  </si>
  <si>
    <t>IPS-3.5</t>
  </si>
  <si>
    <t>IPS-4.1</t>
  </si>
  <si>
    <t>Single instrument</t>
  </si>
  <si>
    <t>IPS-4.2</t>
  </si>
  <si>
    <t>Single issuer (direct shares)</t>
  </si>
  <si>
    <t>IPS-4.3</t>
  </si>
  <si>
    <t>Single sector (direct shares)</t>
  </si>
  <si>
    <t>Total portfolio value</t>
  </si>
  <si>
    <t>Positions!H16 — the one denominator</t>
  </si>
  <si>
    <t>Section 3 — Strategic allocation (asset-class bands)</t>
  </si>
  <si>
    <t>Market values from Alloc-AssetClass column E. Both bounds of a band are separate rows; a band is breached if either row is.</t>
  </si>
  <si>
    <t>Subject</t>
  </si>
  <si>
    <t>Share of total</t>
  </si>
  <si>
    <t>Distance ($)</t>
  </si>
  <si>
    <t>Distance (fraction)</t>
  </si>
  <si>
    <t>IPS-4.1 — Single instrument, every holding, funds included</t>
  </si>
  <si>
    <t>Market values from Positions column H.</t>
  </si>
  <si>
    <t>Instrument type (needed by IPS-4.2; the code will carry this on Asset.instrument_type)</t>
  </si>
  <si>
    <t>Type</t>
  </si>
  <si>
    <t>fund</t>
  </si>
  <si>
    <t>share</t>
  </si>
  <si>
    <t>IPS-4.2 — Single issuer, direct shares only; funds are exempt, not passed</t>
  </si>
  <si>
    <t>Status is "exempt" when the instrument type above says fund. Exempt rows carry no arithmetic; they are not "ok".</t>
  </si>
  <si>
    <t>IPS-4.3 — Single sector, direct shares; denominator is total incl. cash, NOT Part 3's invested</t>
  </si>
  <si>
    <t>Market values from Alloc-Sector column E. Technology reads 29.05% of invested on Part 3 and 27.96% of total here; both are right for their own question.</t>
  </si>
  <si>
    <t>Benchmark 3.1 — "I want to put 15% into a single position, is that allowed?"</t>
  </si>
  <si>
    <t>Proposed share</t>
  </si>
  <si>
    <t>hypothetical</t>
  </si>
  <si>
    <t>The answer cites IPS-4.1 and refuses. Not checked against holdings: the question is about a proposed weight, not a position.</t>
  </si>
  <si>
    <t>Benchmark 3.4 — "What does my investment policy say about currency risk?"</t>
  </si>
  <si>
    <t>No clause. docs/IPS.md contains nothing on currency, FX or hedging, on purpose. The expected answer says the policy is silent on it and cites no clause id. Recorded here so that absence is deliberate, not an omission.</t>
  </si>
  <si>
    <t>Summary</t>
  </si>
  <si>
    <t>Breaching findings</t>
  </si>
  <si>
    <t>expected 8: IPS-3.1 max, IPS-4.1 SPY/AAPL/MSFT, IPS-4.2 AAPL/MSFT/JNJ, IPS-4.3 Technology</t>
  </si>
  <si>
    <t>Passing findings</t>
  </si>
  <si>
    <t>Exempt rows</t>
  </si>
  <si>
    <t>Knife edges</t>
  </si>
  <si>
    <t>MSFT vs IPS-4.1 (over by ~0.11 pp) and JNJ vs IPS-4.2 (over by ~0.06 pp). Both flip on a live run; nothing in the runner asserts on which clauses breach.</t>
  </si>
  <si>
    <t>Verified by hand on</t>
  </si>
  <si>
    <t>Fill in when every row has been checked against expected_values.md Part 7.</t>
  </si>
  <si>
    <t>Part 8 — The transaction ledger</t>
  </si>
  <si>
    <t>Decisions D10–D14: average cost; fees in cost basis; a sale keeps the average and releases quantity × average; holdings derive from rows; a row belongs to a portfolio. Blue = typed input, black = formula.</t>
  </si>
  <si>
    <t>A. Portfolio 3 as a ledger — must reproduce Positions!D, E, F and K to the cent</t>
  </si>
  <si>
    <t>Price</t>
  </si>
  <si>
    <t>Fees</t>
  </si>
  <si>
    <t>Amount</t>
  </si>
  <si>
    <t>buy</t>
  </si>
  <si>
    <t>Total</t>
  </si>
  <si>
    <t>Holdings derived from the rows above (D13), checked against Positions. First buy = first matching row; the ledger is in date order.</t>
  </si>
  <si>
    <t>Cost basis</t>
  </si>
  <si>
    <t>Average</t>
  </si>
  <si>
    <t>First buy</t>
  </si>
  <si>
    <t>Positions cost</t>
  </si>
  <si>
    <t>Difference</t>
  </si>
  <si>
    <t>B. One position (KO) built in two tranches and partly sold — running position after each row</t>
  </si>
  <si>
    <t>Qty after</t>
  </si>
  <si>
    <t>Cost basis after</t>
  </si>
  <si>
    <t>Average after</t>
  </si>
  <si>
    <t>Released</t>
  </si>
  <si>
    <t>Realized</t>
  </si>
  <si>
    <t>2025-02-03</t>
  </si>
  <si>
    <t>2025-11-17</t>
  </si>
  <si>
    <t>sell</t>
  </si>
  <si>
    <t>Price now</t>
  </si>
  <si>
    <t>Market value</t>
  </si>
  <si>
    <t>P&amp;L abs</t>
  </si>
  <si>
    <t>Hand-computed (expected_values.md Part 8): after the sale 250 @ 80.01, cost basis 20,002.50, realized 247.50; at 88.00 market value 22,000.00, P&amp;L +1,997.50 (+9.99%).</t>
  </si>
  <si>
    <t>C. One foreign-currency position in a euro portfolio — D15–D18. Base currency EUR; AAPL quoted in USD; rates are EUR per USD, stated and synthetic.</t>
  </si>
  <si>
    <t>Price (USD)</t>
  </si>
  <si>
    <t>Rate EUR/USD</t>
  </si>
  <si>
    <t>Fees (EUR)</t>
  </si>
  <si>
    <t>Amount (EUR)</t>
  </si>
  <si>
    <t>Position after (D13, D18: in EUR)</t>
  </si>
  <si>
    <t>Cost basis (EUR)</t>
  </si>
  <si>
    <t>Average (EUR)</t>
  </si>
  <si>
    <t>Valuation (D16, D17)</t>
  </si>
  <si>
    <t>Price now (USD)</t>
  </si>
  <si>
    <t>AAPL close 2026-09-02, from Positions</t>
  </si>
  <si>
    <t>Spot EUR/USD</t>
  </si>
  <si>
    <t>stated, as of 2026-09-02</t>
  </si>
  <si>
    <t>Market value (EUR)</t>
  </si>
  <si>
    <t>P&amp;L abs (EUR)</t>
  </si>
  <si>
    <t>USD P&amp;L % for contrast</t>
  </si>
  <si>
    <t>the price part alone; the split is not computed (Part 8 C)</t>
  </si>
  <si>
    <t>Hand-computed (expected_values.md Part 8 C): amount 18,405.00; 100 @ 184.05 EUR; at 324.96 USD and 0.8500, market value 27,621.60, P&amp;L +9,216.60 (+50.08%); in USD +62.48%.</t>
  </si>
  <si>
    <t>Part 9 — The price source</t>
  </si>
  <si>
    <t>Decisions D19–D20: a close is the exchange's as-traded print, split-adjusted only; when two sources disagree the exchange's print wins and nothing averages. Blue = typed from the exchange's own historical quotes (api.nasdaq.com, Close/Last), fetched 2026-09-10; black = formula. Tolerance: equal after rounding to the cent.</t>
  </si>
  <si>
    <t>A. The valuation date, 2026-09-02 — the exchange against Positions!G (Part 1)</t>
  </si>
  <si>
    <t>Exchange 2026-09-02</t>
  </si>
  <si>
    <t>Part 1 (Positions)</t>
  </si>
  <si>
    <t>Verdict</t>
  </si>
  <si>
    <t>Agreeing</t>
  </si>
  <si>
    <t>of 9</t>
  </si>
  <si>
    <t>B. Dates before a dividend — the falsifier. The committed series is benchmark_closes.csv (Part 4's 252 closes); the database column is data/portfolio.db as read on 2026-09-10, after the provider had refetched with its default.</t>
  </si>
  <si>
    <t>Exchange</t>
  </si>
  <si>
    <t>Committed series</t>
  </si>
  <si>
    <t>Database 2026-09-10</t>
  </si>
  <si>
    <t>Series minus exchange</t>
  </si>
  <si>
    <t>Database minus exchange</t>
  </si>
  <si>
    <t>2026-08-21</t>
  </si>
  <si>
    <t>2026-08-28</t>
  </si>
  <si>
    <t>Over the whole fetch (20 August to 3 September, 99 rows): 90 rows lie inside the committed series and all 90 agree to the cent; the database agrees on 82 and is lower on 17, every one a JNJ, NEE or TLT row before that holding's latest ex-dividend date. Cause: the provider's history call uses the library default, which returns the dividend-adjusted close. Fix at the provider; the reference does not move (D20).</t>
  </si>
  <si>
    <t>Hand-computed (expected_values.md Part 9): nine of nine on 2026-09-02; JNJ 2026-08-21 database 268.91 against the print 270.24; TLT 2026-08-28 82.56 against 82.88.</t>
  </si>
  <si>
    <t>Part 12 — The filings reader</t>
  </si>
  <si>
    <t>Decisions D26–D33. EDGAR company facts for Apple Inc. (CIK 320193), pulled 2026-09-11; the facts are committed as tests/golden/edgar_facts_aapl.csv and the 3.79 MB document is not. Blue = typed by the owner from Apple's own filing (the second source, Part 9's pattern); black = EDGAR's figure or a formula. USD millions. Tolerance: equal to the dollar.</t>
  </si>
  <si>
    <t>Caveat recorded with section E: the EDGAR column is a second automated extraction, not a human reading the filing. It catches a wrong tag, vintage, period or unit. It is not the independent check Part 9 got.</t>
  </si>
  <si>
    <t>A. FY2025, the 10-K against Part 12 B — accession 0000320193-25-000079, filed 2025-10-31</t>
  </si>
  <si>
    <t>Field</t>
  </si>
  <si>
    <t>10-K, by hand</t>
  </si>
  <si>
    <t>Part 12 B (EDGAR)</t>
  </si>
  <si>
    <t>Tag</t>
  </si>
  <si>
    <t>10-K label</t>
  </si>
  <si>
    <t>revenue</t>
  </si>
  <si>
    <t>RevenueFromContractWithCustomerExcludingAssessedTax</t>
  </si>
  <si>
    <t>Total net sales</t>
  </si>
  <si>
    <t>gross_profit</t>
  </si>
  <si>
    <t>GrossProfit</t>
  </si>
  <si>
    <t>operating_income</t>
  </si>
  <si>
    <t>OperatingIncomeLoss</t>
  </si>
  <si>
    <t>equity</t>
  </si>
  <si>
    <t>StockholdersEquity</t>
  </si>
  <si>
    <t>Total shareholders’ equity</t>
  </si>
  <si>
    <t>cash</t>
  </si>
  <si>
    <t>CashAndCashEquivalentsAtCarryingValue</t>
  </si>
  <si>
    <t>Cash and cash equivalents</t>
  </si>
  <si>
    <t>long_term_debt_current</t>
  </si>
  <si>
    <t>LongTermDebtCurrent</t>
  </si>
  <si>
    <t>Term debt (current)</t>
  </si>
  <si>
    <t>long_term_debt_noncurrent</t>
  </si>
  <si>
    <t>LongTermDebtNoncurrent</t>
  </si>
  <si>
    <t>Term debt (non-current)</t>
  </si>
  <si>
    <t>commercial_paper</t>
  </si>
  <si>
    <t>CommercialPaper</t>
  </si>
  <si>
    <t>Commercial paper</t>
  </si>
  <si>
    <t>of 8</t>
  </si>
  <si>
    <t>B. The FY2008 restatement (section D, F3) — the one row where EDGAR holds two answers</t>
  </si>
  <si>
    <t>Vintage</t>
  </si>
  <si>
    <t>Accession</t>
  </si>
  <si>
    <t>Form</t>
  </si>
  <si>
    <t>as reported</t>
  </si>
  <si>
    <t>0001193125-09-214859</t>
  </si>
  <si>
    <t>10-K</t>
  </si>
  <si>
    <t>as amended (D29 takes this one)</t>
  </si>
  <si>
    <t>0001193125-10-012091</t>
  </si>
  <si>
    <t>10-K/A</t>
  </si>
  <si>
    <t>Cause: retrospective adoption of the amended revenue-recognition standards for iPhone and Apple TV, announced 2010-01-25. D29 takes the latest filed, so 6,119 is the figure; the form is not a filter and this one is an amendment.</t>
  </si>
  <si>
    <t>C. Free cross-checks from the same balance sheet</t>
  </si>
  <si>
    <t>Check</t>
  </si>
  <si>
    <t>Components</t>
  </si>
  <si>
    <t>Stated</t>
  </si>
  <si>
    <t>cash + marketable securities (MD&amp;A)</t>
  </si>
  <si>
    <t>35,934 + 18,763 + 77,723</t>
  </si>
  <si>
    <t>FY2024 comparatives on the same balance sheet match Part 12 B's FY2024 column: 56,950 equity, 29,943 cash, 10,912 and 85,750 term debt, 9,967 commercial paper. Typed check, no formula.</t>
  </si>
  <si>
    <t>D. Part 12 G — the bridge's rows: net debt and NOPAT on section B's five years (decisions 46 and 47, 2026-09-15)</t>
  </si>
  <si>
    <t>Inputs in black are EDGAR's figures from Part 12 B, USD millions. Blue is typed: the stated rate is the philosophy's PHI-2.1 parameter, and the Part 12 G and Part 12 F columns are the by-hand figures the formulas are held to. Net debt = commercial_paper + long_term_debt_current + long_term_debt_noncurrent - cash (D33, definition A). NOPAT = operating_income x (1 - stated rate) (D32). The filed-rate NOPAT is contrast only and never the figure.</t>
  </si>
  <si>
    <t>Stated tax rate (PHI-2.1)</t>
  </si>
  <si>
    <t>Borrowings</t>
  </si>
  <si>
    <t>net_debt</t>
  </si>
  <si>
    <t>Part 12 G net_debt</t>
  </si>
  <si>
    <t>depreciation_amortisation</t>
  </si>
  <si>
    <t>EBITDA</t>
  </si>
  <si>
    <t>net_debt / EBITDA</t>
  </si>
  <si>
    <t>Part 12 F, definition A</t>
  </si>
  <si>
    <t>NOPAT at the stated rate</t>
  </si>
  <si>
    <t>Part 12 G NOPAT</t>
  </si>
  <si>
    <t>effective_tax_rate (EDGAR)</t>
  </si>
  <si>
    <t>NOPAT at the filed rate (contrast)</t>
  </si>
  <si>
    <t>of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</si>
</sst>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d/yyyy"/>
    <numFmt numFmtId="165" formatCode="\$#,##0.00;&quot;($&quot;#,##0.00\);\-"/>
    <numFmt numFmtId="166" formatCode="0.00%;\(0.00%\);\-"/>
    <numFmt numFmtId="167" formatCode="0.0000%;\(0.0000%\);\-"/>
    <numFmt numFmtId="168" formatCode="yyyy\-mm\-dd"/>
    <numFmt numFmtId="169" formatCode="0.000"/>
    <numFmt numFmtId="170" formatCode="0.0000"/>
    <numFmt numFmtId="171" formatCode="#,##0.0"/>
  </numFmts>
  <fonts count="20" x14ac:knownFonts="1">
    <font>
      <sz val="11"/>
      <color theme="1"/>
      <name val="Calibri"/>
      <family val="2"/>
      <charset val="1"/>
    </font>
    <font>
      <b/>
      <sz val="14"/>
      <name val="Arial"/>
      <family val="2"/>
      <charset val="1"/>
    </font>
    <font>
      <i/>
      <sz val="9"/>
      <color rgb="FF595959"/>
      <name val="Arial"/>
      <family val="2"/>
      <charset val="1"/>
    </font>
    <font>
      <b/>
      <sz val="11"/>
      <name val="Arial"/>
      <family val="2"/>
      <charset val="1"/>
    </font>
    <font>
      <b/>
      <sz val="10"/>
      <name val="Arial"/>
      <family val="2"/>
      <charset val="1"/>
    </font>
    <font>
      <sz val="10"/>
      <name val="Arial"/>
      <family val="2"/>
      <charset val="1"/>
    </font>
    <font>
      <sz val="10"/>
      <color rgb="FF0000FF"/>
      <name val="Arial"/>
      <family val="2"/>
      <charset val="1"/>
    </font>
    <font>
      <sz val="10"/>
      <color theme="1"/>
      <name val="Arial Unicode MS"/>
      <family val="2"/>
      <charset val="1"/>
    </font>
    <font>
      <b/>
      <sz val="10"/>
      <color rgb="FF000000"/>
      <name val="Helvetica Neue"/>
      <family val="2"/>
      <charset val="1"/>
    </font>
    <font>
      <sz val="10"/>
      <color rgb="FF000000"/>
      <name val="Helvetica Neue"/>
      <family val="2"/>
      <charset val="1"/>
    </font>
    <font>
      <b/>
      <sz val="11"/>
      <name val="Arial"/>
      <family val="2"/>
    </font>
    <font>
      <sz val="11"/>
      <name val="Arial"/>
      <family val="2"/>
    </font>
    <font>
      <sz val="11"/>
      <color rgb="FF0000FF"/>
      <name val="Arial"/>
      <family val="2"/>
    </font>
    <font>
      <sz val="11"/>
      <color rgb="FF008000"/>
      <name val="Arial"/>
      <family val="2"/>
    </font>
    <font>
      <b/>
      <sz val="11"/>
      <name val="Calibri"/>
      <family val="2"/>
    </font>
    <font>
      <sz val="11"/>
      <color rgb="FF0000FF"/>
      <name val="Calibri"/>
      <family val="2"/>
    </font>
    <font>
      <b/>
      <sz val="11"/>
      <name val="Calibri"/>
      <family val="2"/>
    </font>
    <font>
      <sz val="11"/>
      <color rgb="FF0000FF"/>
      <name val="Calibri"/>
      <family val="2"/>
    </font>
    <font>
      <b/>
      <sz val="11"/>
      <name val="Calibri"/>
      <family val="2"/>
    </font>
    <font>
      <sz val="11"/>
      <color rgb="FF0000FF"/>
      <name val="Calibri"/>
      <family val="2"/>
    </font>
  </fonts>
  <fills count="5">
    <fill>
      <patternFill patternType="none"/>
    </fill>
    <fill>
      <patternFill patternType="gray125"/>
    </fill>
    <fill>
      <patternFill patternType="solid">
        <fgColor rgb="FFFFFF00"/>
        <bgColor rgb="FFFFFF00"/>
      </patternFill>
    </fill>
    <fill>
      <patternFill patternType="solid">
        <fgColor rgb="FFD9D9D9"/>
        <bgColor rgb="FFF2F2F2"/>
      </patternFill>
    </fill>
    <fill>
      <patternFill patternType="solid">
        <fgColor rgb="FFF2F2F2"/>
        <bgColor rgb="FFFFFF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s>
  <cellStyleXfs count="1">
    <xf numFmtId="0" fontId="0" fillId="0" borderId="0"/>
  </cellStyleXfs>
  <cellXfs count="6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xf numFmtId="164" fontId="6" fillId="2" borderId="1" xfId="0" applyNumberFormat="1" applyFont="1" applyFill="1" applyBorder="1" applyAlignment="1">
      <alignment horizontal="left"/>
    </xf>
    <xf numFmtId="0" fontId="3" fillId="3" borderId="1" xfId="0" applyFont="1" applyFill="1" applyBorder="1"/>
    <xf numFmtId="0" fontId="4" fillId="0" borderId="1" xfId="0" applyFont="1" applyBorder="1"/>
    <xf numFmtId="0" fontId="5" fillId="0" borderId="1" xfId="0" applyFont="1" applyBorder="1" applyAlignment="1">
      <alignment vertical="top" wrapText="1"/>
    </xf>
    <xf numFmtId="0" fontId="6" fillId="2" borderId="1" xfId="0" applyFont="1" applyFill="1" applyBorder="1" applyAlignment="1">
      <alignment vertical="top" wrapText="1"/>
    </xf>
    <xf numFmtId="0" fontId="7" fillId="0" borderId="0" xfId="0" applyFont="1"/>
    <xf numFmtId="0" fontId="3" fillId="3" borderId="1" xfId="0" applyFont="1" applyFill="1" applyBorder="1" applyAlignment="1">
      <alignment horizontal="center" vertical="center" wrapText="1"/>
    </xf>
    <xf numFmtId="0" fontId="6" fillId="0" borderId="1" xfId="0" applyFont="1" applyBorder="1"/>
    <xf numFmtId="3" fontId="6" fillId="0" borderId="1" xfId="0" applyNumberFormat="1" applyFont="1" applyBorder="1"/>
    <xf numFmtId="165" fontId="6" fillId="0" borderId="1" xfId="0" applyNumberFormat="1" applyFont="1" applyBorder="1"/>
    <xf numFmtId="165" fontId="5" fillId="0" borderId="1" xfId="0" applyNumberFormat="1" applyFont="1" applyBorder="1"/>
    <xf numFmtId="165" fontId="6" fillId="2" borderId="1" xfId="0" applyNumberFormat="1" applyFont="1" applyFill="1" applyBorder="1"/>
    <xf numFmtId="166" fontId="5" fillId="0" borderId="1" xfId="0" applyNumberFormat="1" applyFont="1" applyBorder="1"/>
    <xf numFmtId="0" fontId="4" fillId="0" borderId="2" xfId="0" applyFont="1" applyBorder="1"/>
    <xf numFmtId="0" fontId="0" fillId="0" borderId="2" xfId="0" applyBorder="1"/>
    <xf numFmtId="165" fontId="4" fillId="0" borderId="2" xfId="0" applyNumberFormat="1" applyFont="1" applyBorder="1"/>
    <xf numFmtId="166" fontId="4" fillId="0" borderId="2" xfId="0" applyNumberFormat="1" applyFont="1" applyBorder="1"/>
    <xf numFmtId="165" fontId="4" fillId="0" borderId="0" xfId="0" applyNumberFormat="1" applyFont="1"/>
    <xf numFmtId="166" fontId="4" fillId="0" borderId="0" xfId="0" applyNumberFormat="1" applyFont="1"/>
    <xf numFmtId="0" fontId="5" fillId="0" borderId="1" xfId="0" applyFont="1" applyBorder="1"/>
    <xf numFmtId="0" fontId="2" fillId="0" borderId="1" xfId="0" applyFont="1" applyBorder="1"/>
    <xf numFmtId="0" fontId="6" fillId="2" borderId="1" xfId="0" applyFont="1" applyFill="1" applyBorder="1" applyAlignment="1">
      <alignment wrapText="1"/>
    </xf>
    <xf numFmtId="3" fontId="6" fillId="2" borderId="1" xfId="0" applyNumberFormat="1" applyFont="1" applyFill="1" applyBorder="1"/>
    <xf numFmtId="166" fontId="4" fillId="0" borderId="1" xfId="0" applyNumberFormat="1" applyFont="1" applyBorder="1"/>
    <xf numFmtId="0" fontId="3" fillId="3" borderId="1" xfId="0" applyFont="1" applyFill="1" applyBorder="1" applyAlignment="1">
      <alignment horizontal="center" wrapText="1"/>
    </xf>
    <xf numFmtId="164" fontId="8" fillId="0" borderId="0" xfId="0" applyNumberFormat="1" applyFont="1"/>
    <xf numFmtId="0" fontId="9" fillId="0" borderId="0" xfId="0" applyFont="1"/>
    <xf numFmtId="167" fontId="5" fillId="0" borderId="0" xfId="0" applyNumberFormat="1" applyFont="1"/>
    <xf numFmtId="168" fontId="6" fillId="2" borderId="1" xfId="0" applyNumberFormat="1" applyFont="1" applyFill="1" applyBorder="1"/>
    <xf numFmtId="3" fontId="5" fillId="0" borderId="1" xfId="0" applyNumberFormat="1" applyFont="1" applyBorder="1"/>
    <xf numFmtId="167" fontId="5" fillId="0" borderId="1" xfId="0" applyNumberFormat="1" applyFont="1" applyBorder="1"/>
    <xf numFmtId="166" fontId="4" fillId="4" borderId="1" xfId="0" applyNumberFormat="1" applyFont="1" applyFill="1" applyBorder="1"/>
    <xf numFmtId="0" fontId="5" fillId="0" borderId="0" xfId="0" applyFont="1" applyAlignment="1">
      <alignment vertical="top" wrapText="1"/>
    </xf>
    <xf numFmtId="0" fontId="10" fillId="0" borderId="0" xfId="0" applyFont="1"/>
    <xf numFmtId="0" fontId="11" fillId="0" borderId="0" xfId="0" applyFont="1"/>
    <xf numFmtId="0" fontId="10" fillId="3" borderId="0" xfId="0" applyFont="1" applyFill="1"/>
    <xf numFmtId="166" fontId="12" fillId="0" borderId="0" xfId="0" applyNumberFormat="1" applyFont="1"/>
    <xf numFmtId="165" fontId="13" fillId="0" borderId="0" xfId="0" applyNumberFormat="1" applyFont="1"/>
    <xf numFmtId="166" fontId="11" fillId="0" borderId="0" xfId="0" applyNumberFormat="1" applyFont="1"/>
    <xf numFmtId="165" fontId="11" fillId="0" borderId="0" xfId="0" applyNumberFormat="1" applyFont="1"/>
    <xf numFmtId="0" fontId="12" fillId="0" borderId="0" xfId="0" applyFont="1"/>
    <xf numFmtId="0" fontId="11" fillId="2" borderId="0" xfId="0" applyFont="1" applyFill="1"/>
    <xf numFmtId="0" fontId="14" fillId="0" borderId="0" xfId="0" applyFont="1"/>
    <xf numFmtId="0" fontId="15" fillId="0" borderId="0" xfId="0" applyFont="1"/>
    <xf numFmtId="0" fontId="16" fillId="0" borderId="0" xfId="0" applyFont="1"/>
    <xf numFmtId="3" fontId="17" fillId="0" borderId="0" xfId="0" applyNumberFormat="1" applyFont="1"/>
    <xf numFmtId="3" fontId="0" fillId="0" borderId="0" xfId="0" applyNumberFormat="1"/>
    <xf numFmtId="0" fontId="18" fillId="0" borderId="0" xfId="0" applyFont="1"/>
    <xf numFmtId="169" fontId="19" fillId="0" borderId="0" xfId="0" applyNumberFormat="1" applyFont="1"/>
    <xf numFmtId="3" fontId="19" fillId="0" borderId="0" xfId="0" applyNumberFormat="1" applyFont="1"/>
    <xf numFmtId="170" fontId="0" fillId="0" borderId="0" xfId="0" applyNumberFormat="1"/>
    <xf numFmtId="2" fontId="19" fillId="0" borderId="0" xfId="0" applyNumberFormat="1" applyFont="1"/>
    <xf numFmtId="171" fontId="0" fillId="0" borderId="0" xfId="0" applyNumberFormat="1"/>
    <xf numFmtId="171" fontId="19" fillId="0" borderId="0" xfId="0" applyNumberFormat="1" applyFont="1"/>
    <xf numFmtId="16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showGridLines="0" zoomScaleNormal="100" workbookViewId="0">
      <selection activeCell="C20" sqref="C20"/>
    </sheetView>
  </sheetViews>
  <sheetFormatPr baseColWidth="10" defaultColWidth="8.6640625" defaultRowHeight="15" x14ac:dyDescent="0.2"/>
  <cols>
    <col min="1" max="1" width="14" customWidth="1"/>
    <col min="2" max="2" width="52" customWidth="1"/>
    <col min="3" max="3" width="26" customWidth="1"/>
    <col min="4" max="4" width="52" customWidth="1"/>
  </cols>
  <sheetData>
    <row r="1" spans="1:2" ht="18" customHeight="1" x14ac:dyDescent="0.2">
      <c r="A1" s="1" t="s">
        <v>81</v>
      </c>
    </row>
    <row r="2" spans="1:2" ht="15" customHeight="1" x14ac:dyDescent="0.2">
      <c r="A2" s="2" t="s">
        <v>82</v>
      </c>
    </row>
    <row r="3" spans="1:2" ht="15" customHeight="1" x14ac:dyDescent="0.2">
      <c r="A3" s="2" t="s">
        <v>83</v>
      </c>
    </row>
    <row r="5" spans="1:2" ht="15" customHeight="1" x14ac:dyDescent="0.2">
      <c r="A5" s="3" t="s">
        <v>84</v>
      </c>
    </row>
    <row r="6" spans="1:2" ht="15" customHeight="1" x14ac:dyDescent="0.2">
      <c r="A6" s="4" t="s">
        <v>85</v>
      </c>
      <c r="B6" s="5" t="s">
        <v>86</v>
      </c>
    </row>
    <row r="7" spans="1:2" ht="15" customHeight="1" x14ac:dyDescent="0.2">
      <c r="A7" s="4" t="s">
        <v>87</v>
      </c>
      <c r="B7" s="5" t="s">
        <v>88</v>
      </c>
    </row>
    <row r="8" spans="1:2" ht="15" customHeight="1" x14ac:dyDescent="0.2">
      <c r="A8" s="4" t="s">
        <v>89</v>
      </c>
      <c r="B8" s="5" t="s">
        <v>90</v>
      </c>
    </row>
    <row r="9" spans="1:2" ht="15" customHeight="1" x14ac:dyDescent="0.2">
      <c r="A9" s="4" t="s">
        <v>91</v>
      </c>
      <c r="B9" s="5" t="s">
        <v>92</v>
      </c>
    </row>
    <row r="11" spans="1:2" ht="15" customHeight="1" x14ac:dyDescent="0.2">
      <c r="A11" s="3" t="s">
        <v>93</v>
      </c>
    </row>
    <row r="12" spans="1:2" ht="15" customHeight="1" x14ac:dyDescent="0.2">
      <c r="A12" s="4" t="s">
        <v>94</v>
      </c>
      <c r="B12" s="6" t="s">
        <v>95</v>
      </c>
    </row>
    <row r="13" spans="1:2" ht="15" customHeight="1" x14ac:dyDescent="0.2">
      <c r="A13" s="4" t="s">
        <v>96</v>
      </c>
      <c r="B13" s="6" t="s">
        <v>97</v>
      </c>
    </row>
    <row r="14" spans="1:2" ht="15" customHeight="1" x14ac:dyDescent="0.2">
      <c r="A14" s="4" t="s">
        <v>98</v>
      </c>
      <c r="B14" s="7">
        <v>46268</v>
      </c>
    </row>
    <row r="16" spans="1:2" ht="18" customHeight="1" x14ac:dyDescent="0.2">
      <c r="A16" s="1" t="s">
        <v>99</v>
      </c>
    </row>
    <row r="17" spans="1:4" ht="15" customHeight="1" x14ac:dyDescent="0.2">
      <c r="A17" s="2" t="s">
        <v>100</v>
      </c>
    </row>
    <row r="19" spans="1:4" ht="15" customHeight="1" x14ac:dyDescent="0.2">
      <c r="A19" s="8" t="s">
        <v>101</v>
      </c>
      <c r="B19" s="8" t="s">
        <v>102</v>
      </c>
      <c r="C19" s="8" t="s">
        <v>103</v>
      </c>
      <c r="D19" s="8" t="s">
        <v>104</v>
      </c>
    </row>
    <row r="20" spans="1:4" ht="30" customHeight="1" x14ac:dyDescent="0.2">
      <c r="A20" s="9" t="s">
        <v>105</v>
      </c>
      <c r="B20" s="10" t="s">
        <v>106</v>
      </c>
      <c r="C20" s="11" t="s">
        <v>107</v>
      </c>
      <c r="D20" t="s">
        <v>108</v>
      </c>
    </row>
    <row r="21" spans="1:4" ht="30" customHeight="1" x14ac:dyDescent="0.2">
      <c r="A21" s="9" t="s">
        <v>109</v>
      </c>
      <c r="B21" s="10" t="s">
        <v>110</v>
      </c>
      <c r="C21" s="11" t="s">
        <v>111</v>
      </c>
      <c r="D21" t="s">
        <v>112</v>
      </c>
    </row>
    <row r="22" spans="1:4" ht="30" customHeight="1" x14ac:dyDescent="0.2">
      <c r="A22" s="9" t="s">
        <v>113</v>
      </c>
      <c r="B22" s="10" t="s">
        <v>114</v>
      </c>
      <c r="C22" t="s">
        <v>115</v>
      </c>
      <c r="D22" t="s">
        <v>116</v>
      </c>
    </row>
    <row r="23" spans="1:4" ht="30" customHeight="1" x14ac:dyDescent="0.2">
      <c r="A23" s="9" t="s">
        <v>117</v>
      </c>
      <c r="B23" s="10" t="s">
        <v>118</v>
      </c>
      <c r="C23" s="11" t="s">
        <v>119</v>
      </c>
      <c r="D23" t="s">
        <v>120</v>
      </c>
    </row>
    <row r="24" spans="1:4" ht="30" customHeight="1" x14ac:dyDescent="0.2">
      <c r="A24" s="9" t="s">
        <v>121</v>
      </c>
      <c r="B24" s="10" t="s">
        <v>122</v>
      </c>
      <c r="C24" s="11" t="s">
        <v>123</v>
      </c>
      <c r="D24" t="s">
        <v>124</v>
      </c>
    </row>
    <row r="25" spans="1:4" ht="30" customHeight="1" x14ac:dyDescent="0.2">
      <c r="A25" s="9" t="s">
        <v>125</v>
      </c>
      <c r="B25" s="10" t="s">
        <v>126</v>
      </c>
      <c r="C25" s="11">
        <v>252</v>
      </c>
      <c r="D25" t="s">
        <v>127</v>
      </c>
    </row>
    <row r="26" spans="1:4" ht="30" customHeight="1" x14ac:dyDescent="0.25">
      <c r="A26" s="9" t="s">
        <v>128</v>
      </c>
      <c r="B26" s="10" t="s">
        <v>129</v>
      </c>
      <c r="C26" s="12" t="s">
        <v>130</v>
      </c>
      <c r="D26" s="11"/>
    </row>
    <row r="29" spans="1:4" ht="15" customHeight="1" x14ac:dyDescent="0.2">
      <c r="A29" s="3" t="s">
        <v>131</v>
      </c>
    </row>
    <row r="30" spans="1:4" ht="15" customHeight="1" x14ac:dyDescent="0.2">
      <c r="A30" s="2" t="s">
        <v>132</v>
      </c>
    </row>
  </sheetData>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showGridLines="0" zoomScaleNormal="100" workbookViewId="0">
      <selection activeCell="I24" sqref="I24"/>
    </sheetView>
  </sheetViews>
  <sheetFormatPr baseColWidth="10" defaultColWidth="8.6640625" defaultRowHeight="15" x14ac:dyDescent="0.2"/>
  <cols>
    <col min="1" max="1" width="9" customWidth="1"/>
    <col min="2" max="2" width="13" customWidth="1"/>
    <col min="3" max="3" width="12" customWidth="1"/>
    <col min="4" max="4" width="8" customWidth="1"/>
    <col min="5" max="5" width="12" customWidth="1"/>
    <col min="6" max="7" width="14" customWidth="1"/>
    <col min="8" max="8" width="15" customWidth="1"/>
    <col min="9" max="9" width="13" customWidth="1"/>
    <col min="10" max="10" width="10" customWidth="1"/>
    <col min="11" max="12" width="13" customWidth="1"/>
    <col min="13" max="13" width="12" customWidth="1"/>
  </cols>
  <sheetData>
    <row r="1" spans="1:13" ht="18" customHeight="1" x14ac:dyDescent="0.2">
      <c r="A1" s="1" t="s">
        <v>133</v>
      </c>
    </row>
    <row r="2" spans="1:13" ht="15" customHeight="1" x14ac:dyDescent="0.2">
      <c r="A2" s="2" t="s">
        <v>134</v>
      </c>
    </row>
    <row r="4" spans="1:13" ht="30" customHeight="1" x14ac:dyDescent="0.2">
      <c r="A4" s="13" t="s">
        <v>135</v>
      </c>
      <c r="B4" s="13" t="s">
        <v>136</v>
      </c>
      <c r="C4" s="13" t="s">
        <v>137</v>
      </c>
      <c r="D4" s="13" t="s">
        <v>138</v>
      </c>
      <c r="E4" s="13" t="s">
        <v>139</v>
      </c>
      <c r="F4" s="13" t="s">
        <v>140</v>
      </c>
      <c r="G4" s="13" t="s">
        <v>141</v>
      </c>
      <c r="H4" s="13" t="s">
        <v>142</v>
      </c>
      <c r="I4" s="13" t="s">
        <v>143</v>
      </c>
      <c r="J4" s="13" t="s">
        <v>144</v>
      </c>
      <c r="K4" s="13" t="s">
        <v>145</v>
      </c>
      <c r="L4" s="13" t="s">
        <v>146</v>
      </c>
      <c r="M4" s="13" t="s">
        <v>147</v>
      </c>
    </row>
    <row r="5" spans="1:13" ht="15" customHeight="1" x14ac:dyDescent="0.2">
      <c r="A5" s="14" t="s">
        <v>148</v>
      </c>
      <c r="B5" s="14" t="s">
        <v>15</v>
      </c>
      <c r="C5" s="14" t="s">
        <v>149</v>
      </c>
      <c r="D5" s="15">
        <v>100</v>
      </c>
      <c r="E5" s="16">
        <v>500</v>
      </c>
      <c r="F5" s="17">
        <f t="shared" ref="F5:F13" si="0">D5*E5</f>
        <v>50000</v>
      </c>
      <c r="G5" s="18">
        <v>765.16</v>
      </c>
      <c r="H5" s="17">
        <f t="shared" ref="H5:H13" si="1">IF(G5="","",D5*G5)</f>
        <v>76516</v>
      </c>
      <c r="I5" s="17">
        <f t="shared" ref="I5:I13" si="2">IF(H5="","",H5-F5)</f>
        <v>26516</v>
      </c>
      <c r="J5" s="19">
        <f t="shared" ref="J5:J13" si="3">IF(H5="","",I5/F5)</f>
        <v>0.53032000000000001</v>
      </c>
      <c r="K5" s="14" t="s">
        <v>150</v>
      </c>
      <c r="L5" s="19">
        <f t="shared" ref="L5:L13" si="4">IF($H$15="","",H5/$H$15)</f>
        <v>0.19385838122829843</v>
      </c>
      <c r="M5" s="19">
        <f t="shared" ref="M5:M14" si="5">IF($H$16="","",H5/$H$16)</f>
        <v>0.18653317097370675</v>
      </c>
    </row>
    <row r="6" spans="1:13" ht="15" customHeight="1" x14ac:dyDescent="0.2">
      <c r="A6" s="14" t="s">
        <v>151</v>
      </c>
      <c r="B6" s="14" t="s">
        <v>15</v>
      </c>
      <c r="C6" s="14" t="s">
        <v>152</v>
      </c>
      <c r="D6" s="15">
        <v>200</v>
      </c>
      <c r="E6" s="16">
        <v>200</v>
      </c>
      <c r="F6" s="17">
        <f t="shared" si="0"/>
        <v>40000</v>
      </c>
      <c r="G6" s="18">
        <v>324.95999999999998</v>
      </c>
      <c r="H6" s="17">
        <f t="shared" si="1"/>
        <v>64991.999999999993</v>
      </c>
      <c r="I6" s="17">
        <f t="shared" si="2"/>
        <v>24991.999999999993</v>
      </c>
      <c r="J6" s="19">
        <f t="shared" si="3"/>
        <v>0.6247999999999998</v>
      </c>
      <c r="K6" s="14" t="s">
        <v>153</v>
      </c>
      <c r="L6" s="19">
        <f t="shared" si="4"/>
        <v>0.16466155984094266</v>
      </c>
      <c r="M6" s="19">
        <f t="shared" si="5"/>
        <v>0.15843959234569435</v>
      </c>
    </row>
    <row r="7" spans="1:13" ht="15" customHeight="1" x14ac:dyDescent="0.2">
      <c r="A7" s="14" t="s">
        <v>154</v>
      </c>
      <c r="B7" s="14" t="s">
        <v>15</v>
      </c>
      <c r="C7" s="14" t="s">
        <v>152</v>
      </c>
      <c r="D7" s="15">
        <v>100</v>
      </c>
      <c r="E7" s="16">
        <v>400</v>
      </c>
      <c r="F7" s="17">
        <f t="shared" si="0"/>
        <v>40000</v>
      </c>
      <c r="G7" s="18">
        <v>496.82</v>
      </c>
      <c r="H7" s="17">
        <f t="shared" si="1"/>
        <v>49682</v>
      </c>
      <c r="I7" s="17">
        <f t="shared" si="2"/>
        <v>9682</v>
      </c>
      <c r="J7" s="19">
        <f t="shared" si="3"/>
        <v>0.24204999999999999</v>
      </c>
      <c r="K7" s="14" t="s">
        <v>155</v>
      </c>
      <c r="L7" s="19">
        <f t="shared" si="4"/>
        <v>0.12587265534246853</v>
      </c>
      <c r="M7" s="19">
        <f t="shared" si="5"/>
        <v>0.12111638089178341</v>
      </c>
    </row>
    <row r="8" spans="1:13" ht="15" customHeight="1" x14ac:dyDescent="0.2">
      <c r="A8" s="14" t="s">
        <v>156</v>
      </c>
      <c r="B8" s="14" t="s">
        <v>15</v>
      </c>
      <c r="C8" s="14" t="s">
        <v>157</v>
      </c>
      <c r="D8" s="15">
        <v>150</v>
      </c>
      <c r="E8" s="16">
        <v>150</v>
      </c>
      <c r="F8" s="17">
        <f t="shared" si="0"/>
        <v>22500</v>
      </c>
      <c r="G8" s="18">
        <v>275.20999999999998</v>
      </c>
      <c r="H8" s="17">
        <f t="shared" si="1"/>
        <v>41281.5</v>
      </c>
      <c r="I8" s="17">
        <f t="shared" si="2"/>
        <v>18781.5</v>
      </c>
      <c r="J8" s="19">
        <f t="shared" si="3"/>
        <v>0.83473333333333333</v>
      </c>
      <c r="K8" s="14" t="s">
        <v>158</v>
      </c>
      <c r="L8" s="19">
        <f t="shared" si="4"/>
        <v>0.10458942920011502</v>
      </c>
      <c r="M8" s="19">
        <f t="shared" si="5"/>
        <v>0.10063737123674886</v>
      </c>
    </row>
    <row r="9" spans="1:13" ht="15" customHeight="1" x14ac:dyDescent="0.2">
      <c r="A9" s="14" t="s">
        <v>159</v>
      </c>
      <c r="B9" s="14" t="s">
        <v>15</v>
      </c>
      <c r="C9" s="14" t="s">
        <v>160</v>
      </c>
      <c r="D9" s="15">
        <v>100</v>
      </c>
      <c r="E9" s="16">
        <v>200</v>
      </c>
      <c r="F9" s="17">
        <f t="shared" si="0"/>
        <v>20000</v>
      </c>
      <c r="G9" s="18">
        <v>356.22</v>
      </c>
      <c r="H9" s="17">
        <f t="shared" si="1"/>
        <v>35622</v>
      </c>
      <c r="I9" s="17">
        <f t="shared" si="2"/>
        <v>15622</v>
      </c>
      <c r="J9" s="19">
        <f t="shared" si="3"/>
        <v>0.78110000000000002</v>
      </c>
      <c r="K9" s="14" t="s">
        <v>161</v>
      </c>
      <c r="L9" s="19">
        <f t="shared" si="4"/>
        <v>9.0250709081949473E-2</v>
      </c>
      <c r="M9" s="19">
        <f t="shared" si="5"/>
        <v>8.6840459726402086E-2</v>
      </c>
    </row>
    <row r="10" spans="1:13" ht="15" customHeight="1" x14ac:dyDescent="0.2">
      <c r="A10" s="14" t="s">
        <v>162</v>
      </c>
      <c r="B10" s="14" t="s">
        <v>15</v>
      </c>
      <c r="C10" s="14" t="s">
        <v>163</v>
      </c>
      <c r="D10" s="15">
        <v>200</v>
      </c>
      <c r="E10" s="16">
        <v>75</v>
      </c>
      <c r="F10" s="17">
        <f t="shared" si="0"/>
        <v>15000</v>
      </c>
      <c r="G10" s="18">
        <v>83.1</v>
      </c>
      <c r="H10" s="17">
        <f t="shared" si="1"/>
        <v>16620</v>
      </c>
      <c r="I10" s="17">
        <f t="shared" si="2"/>
        <v>1620</v>
      </c>
      <c r="J10" s="19">
        <f t="shared" si="3"/>
        <v>0.108</v>
      </c>
      <c r="K10" s="14" t="s">
        <v>164</v>
      </c>
      <c r="L10" s="19">
        <f t="shared" si="4"/>
        <v>4.210787673185111E-2</v>
      </c>
      <c r="M10" s="19">
        <f t="shared" si="5"/>
        <v>4.051677167629001E-2</v>
      </c>
    </row>
    <row r="11" spans="1:13" ht="15" customHeight="1" x14ac:dyDescent="0.2">
      <c r="A11" s="14" t="s">
        <v>165</v>
      </c>
      <c r="B11" s="14" t="s">
        <v>166</v>
      </c>
      <c r="C11" s="14" t="s">
        <v>149</v>
      </c>
      <c r="D11" s="15">
        <v>500</v>
      </c>
      <c r="E11" s="16">
        <v>90</v>
      </c>
      <c r="F11" s="17">
        <f t="shared" si="0"/>
        <v>45000</v>
      </c>
      <c r="G11" s="18">
        <v>81.95</v>
      </c>
      <c r="H11" s="17">
        <f t="shared" si="1"/>
        <v>40975</v>
      </c>
      <c r="I11" s="17">
        <f t="shared" si="2"/>
        <v>-4025</v>
      </c>
      <c r="J11" s="19">
        <f t="shared" si="3"/>
        <v>-8.9444444444444438E-2</v>
      </c>
      <c r="K11" s="14" t="s">
        <v>167</v>
      </c>
      <c r="L11" s="19">
        <f t="shared" si="4"/>
        <v>0.10381289104016843</v>
      </c>
      <c r="M11" s="19">
        <f t="shared" si="5"/>
        <v>9.9890175658001387E-2</v>
      </c>
    </row>
    <row r="12" spans="1:13" ht="15" customHeight="1" x14ac:dyDescent="0.2">
      <c r="A12" s="14" t="s">
        <v>168</v>
      </c>
      <c r="B12" s="14" t="s">
        <v>169</v>
      </c>
      <c r="C12" s="14" t="s">
        <v>149</v>
      </c>
      <c r="D12" s="15">
        <v>100</v>
      </c>
      <c r="E12" s="16">
        <v>250</v>
      </c>
      <c r="F12" s="17">
        <f t="shared" si="0"/>
        <v>25000</v>
      </c>
      <c r="G12" s="18">
        <v>402.78</v>
      </c>
      <c r="H12" s="17">
        <f t="shared" si="1"/>
        <v>40278</v>
      </c>
      <c r="I12" s="17">
        <f t="shared" si="2"/>
        <v>15278</v>
      </c>
      <c r="J12" s="19">
        <f t="shared" si="3"/>
        <v>0.61112</v>
      </c>
      <c r="K12" s="14" t="s">
        <v>170</v>
      </c>
      <c r="L12" s="19">
        <f t="shared" si="4"/>
        <v>0.10204699512668466</v>
      </c>
      <c r="M12" s="19">
        <f t="shared" si="5"/>
        <v>9.8191006593117275E-2</v>
      </c>
    </row>
    <row r="13" spans="1:13" ht="15" customHeight="1" x14ac:dyDescent="0.2">
      <c r="A13" s="14" t="s">
        <v>171</v>
      </c>
      <c r="B13" s="14" t="s">
        <v>172</v>
      </c>
      <c r="C13" s="14" t="s">
        <v>149</v>
      </c>
      <c r="D13" s="15">
        <v>300</v>
      </c>
      <c r="E13" s="16">
        <v>90</v>
      </c>
      <c r="F13" s="17">
        <f t="shared" si="0"/>
        <v>27000</v>
      </c>
      <c r="G13" s="18">
        <v>95.78</v>
      </c>
      <c r="H13" s="17">
        <f t="shared" si="1"/>
        <v>28734</v>
      </c>
      <c r="I13" s="17">
        <f t="shared" si="2"/>
        <v>1734</v>
      </c>
      <c r="J13" s="19">
        <f t="shared" si="3"/>
        <v>6.4222222222222222E-2</v>
      </c>
      <c r="K13" s="14" t="s">
        <v>173</v>
      </c>
      <c r="L13" s="19">
        <f t="shared" si="4"/>
        <v>7.2799502407521657E-2</v>
      </c>
      <c r="M13" s="19">
        <f t="shared" si="5"/>
        <v>7.0048671320488393E-2</v>
      </c>
    </row>
    <row r="14" spans="1:13" ht="15" customHeight="1" x14ac:dyDescent="0.2">
      <c r="A14" s="9" t="s">
        <v>174</v>
      </c>
      <c r="B14" s="14" t="s">
        <v>17</v>
      </c>
      <c r="C14" s="14" t="s">
        <v>149</v>
      </c>
      <c r="F14" s="16">
        <v>15500</v>
      </c>
      <c r="H14" s="16">
        <v>15500</v>
      </c>
      <c r="M14" s="19">
        <f t="shared" si="5"/>
        <v>3.7786399577767457E-2</v>
      </c>
    </row>
    <row r="15" spans="1:13" ht="15" customHeight="1" x14ac:dyDescent="0.2">
      <c r="A15" s="20" t="s">
        <v>175</v>
      </c>
      <c r="B15" s="21"/>
      <c r="C15" s="21"/>
      <c r="D15" s="21"/>
      <c r="E15" s="21"/>
      <c r="F15" s="22">
        <f>SUM(F5:F13)</f>
        <v>284500</v>
      </c>
      <c r="G15" s="21"/>
      <c r="H15" s="22">
        <f>IF(COUNT(H5:H13)&lt;9,"",SUM(H5:H13))</f>
        <v>394700.5</v>
      </c>
      <c r="I15" s="22">
        <f>IF(H15="","",H15-F15)</f>
        <v>110200.5</v>
      </c>
      <c r="J15" s="23">
        <f>IF(H15="","",I15/F15)</f>
        <v>0.3873479789103691</v>
      </c>
      <c r="K15" s="21"/>
      <c r="L15" s="23">
        <f>IF(H15="","",SUM(L5:L13))</f>
        <v>1</v>
      </c>
      <c r="M15" s="21"/>
    </row>
    <row r="16" spans="1:13" ht="15" customHeight="1" x14ac:dyDescent="0.2">
      <c r="A16" s="4" t="s">
        <v>176</v>
      </c>
      <c r="F16" s="24">
        <f>F15+F14</f>
        <v>300000</v>
      </c>
      <c r="H16" s="24">
        <f>IF(H15="","",H15+H14)</f>
        <v>410200.5</v>
      </c>
      <c r="M16" s="25">
        <f>IF(H16="","",SUM(M5:M14))</f>
        <v>0.99999999999999989</v>
      </c>
    </row>
    <row r="18" spans="1:2" ht="15" customHeight="1" x14ac:dyDescent="0.2">
      <c r="A18" s="3" t="s">
        <v>177</v>
      </c>
    </row>
    <row r="19" spans="1:2" ht="15" customHeight="1" x14ac:dyDescent="0.2">
      <c r="A19" s="4" t="s">
        <v>178</v>
      </c>
      <c r="B19" s="6"/>
    </row>
    <row r="20" spans="1:2" ht="15" customHeight="1" x14ac:dyDescent="0.2">
      <c r="A20" s="2" t="s">
        <v>179</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showGridLines="0" zoomScaleNormal="100" workbookViewId="0"/>
  </sheetViews>
  <sheetFormatPr baseColWidth="10" defaultColWidth="8.6640625" defaultRowHeight="15" x14ac:dyDescent="0.2"/>
  <cols>
    <col min="1" max="1" width="18" customWidth="1"/>
    <col min="2" max="2" width="15" customWidth="1"/>
    <col min="3" max="3" width="14" customWidth="1"/>
    <col min="4" max="4" width="20" customWidth="1"/>
    <col min="5" max="5" width="16" customWidth="1"/>
    <col min="6" max="6" width="14" customWidth="1"/>
    <col min="7" max="7" width="20" customWidth="1"/>
  </cols>
  <sheetData>
    <row r="1" spans="1:7" ht="18" customHeight="1" x14ac:dyDescent="0.2">
      <c r="A1" s="1" t="s">
        <v>180</v>
      </c>
    </row>
    <row r="2" spans="1:7" ht="15" customHeight="1" x14ac:dyDescent="0.2">
      <c r="A2" s="2" t="s">
        <v>181</v>
      </c>
    </row>
    <row r="4" spans="1:7" ht="30" customHeight="1" x14ac:dyDescent="0.2">
      <c r="A4" s="13" t="s">
        <v>136</v>
      </c>
      <c r="B4" s="13" t="s">
        <v>140</v>
      </c>
      <c r="C4" s="13" t="s">
        <v>182</v>
      </c>
      <c r="D4" s="13" t="s">
        <v>183</v>
      </c>
      <c r="E4" s="13" t="s">
        <v>142</v>
      </c>
      <c r="F4" s="13" t="s">
        <v>182</v>
      </c>
      <c r="G4" s="13" t="s">
        <v>183</v>
      </c>
    </row>
    <row r="5" spans="1:7" ht="15" customHeight="1" x14ac:dyDescent="0.2">
      <c r="A5" s="26" t="s">
        <v>15</v>
      </c>
      <c r="B5" s="17">
        <f>SUMIFS(Positions!$F$5:$F$14,Positions!$B$5:$B$14,A5)</f>
        <v>187500</v>
      </c>
      <c r="C5" s="19">
        <f>B5/Positions!$F$15</f>
        <v>0.65905096660808438</v>
      </c>
      <c r="D5" s="19">
        <f>B5/Positions!$F$16</f>
        <v>0.625</v>
      </c>
      <c r="E5" s="17">
        <f>IF(Positions!$H$15="","",SUMIFS(Positions!$H$5:$H$14,Positions!$B$5:$B$14,A5))</f>
        <v>284713.5</v>
      </c>
      <c r="F5" s="19">
        <f>IF(E5="","",E5/Positions!$H$15)</f>
        <v>0.72134061142562522</v>
      </c>
      <c r="G5" s="19">
        <f>IF(E5="","",E5/Positions!$H$16)</f>
        <v>0.69408374685062546</v>
      </c>
    </row>
    <row r="6" spans="1:7" ht="15" customHeight="1" x14ac:dyDescent="0.2">
      <c r="A6" s="26" t="s">
        <v>166</v>
      </c>
      <c r="B6" s="17">
        <f>SUMIFS(Positions!$F$5:$F$14,Positions!$B$5:$B$14,A6)</f>
        <v>45000</v>
      </c>
      <c r="C6" s="19">
        <f>B6/Positions!$F$15</f>
        <v>0.15817223198594024</v>
      </c>
      <c r="D6" s="19">
        <f>B6/Positions!$F$16</f>
        <v>0.15</v>
      </c>
      <c r="E6" s="17">
        <f>IF(Positions!$H$15="","",SUMIFS(Positions!$H$5:$H$14,Positions!$B$5:$B$14,A6))</f>
        <v>40975</v>
      </c>
      <c r="F6" s="19">
        <f>IF(E6="","",E6/Positions!$H$15)</f>
        <v>0.10381289104016843</v>
      </c>
      <c r="G6" s="19">
        <f>IF(E6="","",E6/Positions!$H$16)</f>
        <v>9.9890175658001387E-2</v>
      </c>
    </row>
    <row r="7" spans="1:7" ht="15" customHeight="1" x14ac:dyDescent="0.2">
      <c r="A7" s="26" t="s">
        <v>172</v>
      </c>
      <c r="B7" s="17">
        <f>SUMIFS(Positions!$F$5:$F$14,Positions!$B$5:$B$14,A7)</f>
        <v>27000</v>
      </c>
      <c r="C7" s="19">
        <f>B7/Positions!$F$15</f>
        <v>9.4903339191564143E-2</v>
      </c>
      <c r="D7" s="19">
        <f>B7/Positions!$F$16</f>
        <v>0.09</v>
      </c>
      <c r="E7" s="17">
        <f>IF(Positions!$H$15="","",SUMIFS(Positions!$H$5:$H$14,Positions!$B$5:$B$14,A7))</f>
        <v>28734</v>
      </c>
      <c r="F7" s="19">
        <f>IF(E7="","",E7/Positions!$H$15)</f>
        <v>7.2799502407521657E-2</v>
      </c>
      <c r="G7" s="19">
        <f>IF(E7="","",E7/Positions!$H$16)</f>
        <v>7.0048671320488393E-2</v>
      </c>
    </row>
    <row r="8" spans="1:7" ht="15" customHeight="1" x14ac:dyDescent="0.2">
      <c r="A8" s="26" t="s">
        <v>169</v>
      </c>
      <c r="B8" s="17">
        <f>SUMIFS(Positions!$F$5:$F$14,Positions!$B$5:$B$14,A8)</f>
        <v>25000</v>
      </c>
      <c r="C8" s="19">
        <f>B8/Positions!$F$15</f>
        <v>8.7873462214411252E-2</v>
      </c>
      <c r="D8" s="19">
        <f>B8/Positions!$F$16</f>
        <v>8.3333333333333329E-2</v>
      </c>
      <c r="E8" s="17">
        <f>IF(Positions!$H$15="","",SUMIFS(Positions!$H$5:$H$14,Positions!$B$5:$B$14,A8))</f>
        <v>40278</v>
      </c>
      <c r="F8" s="19">
        <f>IF(E8="","",E8/Positions!$H$15)</f>
        <v>0.10204699512668466</v>
      </c>
      <c r="G8" s="19">
        <f>IF(E8="","",E8/Positions!$H$16)</f>
        <v>9.8191006593117275E-2</v>
      </c>
    </row>
    <row r="9" spans="1:7" ht="15" customHeight="1" x14ac:dyDescent="0.2">
      <c r="A9" s="26" t="s">
        <v>17</v>
      </c>
      <c r="B9" s="17">
        <f>Positions!F14</f>
        <v>15500</v>
      </c>
      <c r="C9" s="27" t="s">
        <v>184</v>
      </c>
      <c r="D9" s="19">
        <f>B9/Positions!$F$16</f>
        <v>5.1666666666666666E-2</v>
      </c>
      <c r="E9" s="17">
        <f>Positions!H14</f>
        <v>15500</v>
      </c>
      <c r="F9" s="27" t="s">
        <v>184</v>
      </c>
      <c r="G9" s="19">
        <f>IF(Positions!$H$16="","",E9/Positions!$H$16)</f>
        <v>3.7786399577767457E-2</v>
      </c>
    </row>
    <row r="10" spans="1:7" ht="15" customHeight="1" x14ac:dyDescent="0.2">
      <c r="A10" s="20" t="s">
        <v>175</v>
      </c>
      <c r="B10" s="22">
        <f>SUM(B5:B8)</f>
        <v>284500</v>
      </c>
      <c r="C10" s="23">
        <f>SUM(C5:C8)</f>
        <v>1</v>
      </c>
      <c r="D10" s="23">
        <f>SUM(D5:D8)</f>
        <v>0.94833333333333336</v>
      </c>
      <c r="E10" s="22">
        <f>IF(Positions!$H$15="","",SUM(E5:E8))</f>
        <v>394700.5</v>
      </c>
      <c r="F10" s="23">
        <f>IF(E10="","",SUM(F5:F8))</f>
        <v>1</v>
      </c>
      <c r="G10" s="23">
        <f>IF(E10="","",SUM(G5:G8))</f>
        <v>0.96221360042223258</v>
      </c>
    </row>
    <row r="11" spans="1:7" ht="15" customHeight="1" x14ac:dyDescent="0.2">
      <c r="A11" s="4" t="s">
        <v>176</v>
      </c>
      <c r="B11" s="24">
        <f>B10+B9</f>
        <v>300000</v>
      </c>
      <c r="D11" s="25">
        <f>D10+D9</f>
        <v>1</v>
      </c>
      <c r="E11" s="24">
        <f>IF(E10="","",E10+E9)</f>
        <v>410200.5</v>
      </c>
      <c r="G11" s="25">
        <f>IF(E10="","",G10+G9)</f>
        <v>1</v>
      </c>
    </row>
    <row r="13" spans="1:7" ht="15" customHeight="1" x14ac:dyDescent="0.2">
      <c r="A13" s="3" t="s">
        <v>185</v>
      </c>
    </row>
    <row r="14" spans="1:7" ht="15" customHeight="1" x14ac:dyDescent="0.2">
      <c r="A14" s="5" t="s">
        <v>186</v>
      </c>
      <c r="B14" s="4" t="str">
        <f>IF(ROUND(B10-Positions!F15,2)=0,"OK","MISMATCH")</f>
        <v>OK</v>
      </c>
    </row>
    <row r="15" spans="1:7" ht="15" customHeight="1" x14ac:dyDescent="0.2">
      <c r="A15" s="5" t="s">
        <v>187</v>
      </c>
      <c r="B15" s="4" t="str">
        <f>IF(E10="","(no prices yet)",IF(ROUND(E10-Positions!H15,2)=0,"OK","MISMATCH"))</f>
        <v>OK</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showGridLines="0" zoomScaleNormal="100" workbookViewId="0">
      <selection activeCell="B14" sqref="B14"/>
    </sheetView>
  </sheetViews>
  <sheetFormatPr baseColWidth="10" defaultColWidth="8.6640625" defaultRowHeight="15" x14ac:dyDescent="0.2"/>
  <cols>
    <col min="1" max="1" width="22" customWidth="1"/>
    <col min="2" max="2" width="34" customWidth="1"/>
    <col min="3" max="4" width="14" customWidth="1"/>
    <col min="5" max="5" width="16" customWidth="1"/>
    <col min="6" max="7" width="14" customWidth="1"/>
  </cols>
  <sheetData>
    <row r="1" spans="1:7" ht="18" customHeight="1" x14ac:dyDescent="0.2">
      <c r="A1" s="1" t="s">
        <v>188</v>
      </c>
    </row>
    <row r="2" spans="1:7" ht="15" customHeight="1" x14ac:dyDescent="0.2">
      <c r="A2" s="2" t="s">
        <v>189</v>
      </c>
    </row>
    <row r="4" spans="1:7" ht="30" customHeight="1" x14ac:dyDescent="0.2">
      <c r="A4" s="13" t="s">
        <v>137</v>
      </c>
      <c r="B4" s="13" t="s">
        <v>140</v>
      </c>
      <c r="C4" s="13" t="s">
        <v>190</v>
      </c>
      <c r="D4" s="13" t="s">
        <v>182</v>
      </c>
      <c r="E4" s="13" t="s">
        <v>142</v>
      </c>
      <c r="F4" s="13" t="s">
        <v>190</v>
      </c>
      <c r="G4" s="13" t="s">
        <v>182</v>
      </c>
    </row>
    <row r="5" spans="1:7" ht="15" customHeight="1" x14ac:dyDescent="0.2">
      <c r="A5" s="26" t="s">
        <v>152</v>
      </c>
      <c r="B5" s="17">
        <f>SUMIFS(Positions!$F$5:$F$13,Positions!$C$5:$C$13,A5)</f>
        <v>80000</v>
      </c>
      <c r="C5" s="19">
        <f>B5/$B$10</f>
        <v>0.58181818181818179</v>
      </c>
      <c r="D5" s="19">
        <f>B5/Positions!$F$15</f>
        <v>0.28119507908611602</v>
      </c>
      <c r="E5" s="17">
        <f>IF(Positions!$H$15="","",SUMIFS(Positions!$H$5:$H$13,Positions!$C$5:$C$13,A5))</f>
        <v>114674</v>
      </c>
      <c r="F5" s="19">
        <f>IF(E5="","",E5/$E$10)</f>
        <v>0.55079431789526767</v>
      </c>
      <c r="G5" s="19">
        <f>IF(E5="","",E5/Positions!$H$15)</f>
        <v>0.29053421518341122</v>
      </c>
    </row>
    <row r="6" spans="1:7" ht="15" customHeight="1" x14ac:dyDescent="0.2">
      <c r="A6" s="26" t="s">
        <v>157</v>
      </c>
      <c r="B6" s="17">
        <f>SUMIFS(Positions!$F$5:$F$13,Positions!$C$5:$C$13,A6)</f>
        <v>22500</v>
      </c>
      <c r="C6" s="19">
        <f>B6/$B$10</f>
        <v>0.16363636363636364</v>
      </c>
      <c r="D6" s="19">
        <f>B6/Positions!$F$15</f>
        <v>7.9086115992970121E-2</v>
      </c>
      <c r="E6" s="17">
        <f>IF(Positions!$H$15="","",SUMIFS(Positions!$H$5:$H$13,Positions!$C$5:$C$13,A6))</f>
        <v>41281.5</v>
      </c>
      <c r="F6" s="19">
        <f>IF(E6="","",E6/$E$10)</f>
        <v>0.19828047887222469</v>
      </c>
      <c r="G6" s="19">
        <f>IF(E6="","",E6/Positions!$H$15)</f>
        <v>0.10458942920011502</v>
      </c>
    </row>
    <row r="7" spans="1:7" ht="15" customHeight="1" x14ac:dyDescent="0.2">
      <c r="A7" s="26" t="s">
        <v>160</v>
      </c>
      <c r="B7" s="17">
        <f>SUMIFS(Positions!$F$5:$F$13,Positions!$C$5:$C$13,A7)</f>
        <v>20000</v>
      </c>
      <c r="C7" s="19">
        <f>B7/$B$10</f>
        <v>0.14545454545454545</v>
      </c>
      <c r="D7" s="19">
        <f>B7/Positions!$F$15</f>
        <v>7.0298769771529004E-2</v>
      </c>
      <c r="E7" s="17">
        <f>IF(Positions!$H$15="","",SUMIFS(Positions!$H$5:$H$13,Positions!$C$5:$C$13,A7))</f>
        <v>35622</v>
      </c>
      <c r="F7" s="19">
        <f>IF(E7="","",E7/$E$10)</f>
        <v>0.17109715534528513</v>
      </c>
      <c r="G7" s="19">
        <f>IF(E7="","",E7/Positions!$H$15)</f>
        <v>9.0250709081949473E-2</v>
      </c>
    </row>
    <row r="8" spans="1:7" ht="15" customHeight="1" x14ac:dyDescent="0.2">
      <c r="A8" s="26" t="s">
        <v>163</v>
      </c>
      <c r="B8" s="17">
        <f>SUMIFS(Positions!$F$5:$F$13,Positions!$C$5:$C$13,A8)</f>
        <v>15000</v>
      </c>
      <c r="C8" s="19">
        <f>B8/$B$10</f>
        <v>0.10909090909090909</v>
      </c>
      <c r="D8" s="19">
        <f>B8/Positions!$F$15</f>
        <v>5.272407732864675E-2</v>
      </c>
      <c r="E8" s="17">
        <f>IF(Positions!$H$15="","",SUMIFS(Positions!$H$5:$H$13,Positions!$C$5:$C$13,A8))</f>
        <v>16620</v>
      </c>
      <c r="F8" s="19">
        <f>IF(E8="","",E8/$E$10)</f>
        <v>7.9828047887222475E-2</v>
      </c>
      <c r="G8" s="19">
        <f>IF(E8="","",E8/Positions!$H$15)</f>
        <v>4.210787673185111E-2</v>
      </c>
    </row>
    <row r="9" spans="1:7" ht="15" customHeight="1" x14ac:dyDescent="0.2">
      <c r="A9" s="26" t="s">
        <v>191</v>
      </c>
      <c r="B9" s="17">
        <f>SUMIFS(Positions!$F$5:$F$13,Positions!$C$5:$C$13,"(none)")</f>
        <v>147000</v>
      </c>
      <c r="C9" s="27" t="s">
        <v>184</v>
      </c>
      <c r="D9" s="19">
        <f>B9/Positions!$F$15</f>
        <v>0.51669595782073818</v>
      </c>
      <c r="E9" s="17">
        <f>IF(Positions!$H$15="","",SUMIFS(Positions!$H$5:$H$13,Positions!$C$5:$C$13,"(none)"))</f>
        <v>186503</v>
      </c>
      <c r="F9" s="27" t="s">
        <v>184</v>
      </c>
      <c r="G9" s="19">
        <f>IF(E9="","",E9/Positions!$H$15)</f>
        <v>0.47251776980267318</v>
      </c>
    </row>
    <row r="10" spans="1:7" ht="15" customHeight="1" x14ac:dyDescent="0.2">
      <c r="A10" s="20" t="s">
        <v>192</v>
      </c>
      <c r="B10" s="22">
        <f>SUM(B5:B8)</f>
        <v>137500</v>
      </c>
      <c r="C10" s="23">
        <f>SUM(C5:C8)</f>
        <v>1</v>
      </c>
      <c r="D10" s="21"/>
      <c r="E10" s="22">
        <f>IF(Positions!$H$15="","",SUM(E5:E8))</f>
        <v>208197.5</v>
      </c>
      <c r="F10" s="23">
        <f>IF(E10="","",SUM(F5:F8))</f>
        <v>1</v>
      </c>
      <c r="G10" s="21"/>
    </row>
    <row r="11" spans="1:7" ht="15" customHeight="1" x14ac:dyDescent="0.2">
      <c r="A11" s="4" t="s">
        <v>193</v>
      </c>
      <c r="B11" s="24">
        <f>B10+B9</f>
        <v>284500</v>
      </c>
      <c r="D11" s="25">
        <f>SUM(D5:D9)</f>
        <v>1</v>
      </c>
      <c r="E11" s="24">
        <f>IF(E10="","",E10+E9)</f>
        <v>394700.5</v>
      </c>
      <c r="G11" s="25">
        <f>IF(E10="","",SUM(G5:G9))</f>
        <v>1</v>
      </c>
    </row>
    <row r="13" spans="1:7" ht="15" customHeight="1" x14ac:dyDescent="0.2">
      <c r="A13" s="3" t="s">
        <v>194</v>
      </c>
    </row>
    <row r="14" spans="1:7" ht="99" customHeight="1" x14ac:dyDescent="0.2">
      <c r="A14" s="4" t="s">
        <v>195</v>
      </c>
      <c r="B14" s="28" t="s">
        <v>196</v>
      </c>
    </row>
    <row r="15" spans="1:7" ht="15" customHeight="1" x14ac:dyDescent="0.2">
      <c r="A15" s="4" t="s">
        <v>197</v>
      </c>
      <c r="B15" s="6" t="s">
        <v>198</v>
      </c>
    </row>
  </sheetData>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02"/>
  <sheetViews>
    <sheetView showGridLines="0" zoomScaleNormal="100" workbookViewId="0">
      <pane ySplit="17" topLeftCell="A294" activePane="bottomLeft" state="frozen"/>
      <selection pane="bottomLeft" activeCell="M276" sqref="M276"/>
    </sheetView>
  </sheetViews>
  <sheetFormatPr baseColWidth="10" defaultColWidth="8.6640625" defaultRowHeight="15" x14ac:dyDescent="0.2"/>
  <cols>
    <col min="1" max="1" width="38" customWidth="1"/>
    <col min="2" max="11" width="12" customWidth="1"/>
    <col min="12" max="12" width="16" customWidth="1"/>
    <col min="14" max="22" width="11" customWidth="1"/>
  </cols>
  <sheetData>
    <row r="1" spans="1:11" ht="18" customHeight="1" x14ac:dyDescent="0.2">
      <c r="A1" s="1" t="s">
        <v>199</v>
      </c>
    </row>
    <row r="2" spans="1:11" ht="15" customHeight="1" x14ac:dyDescent="0.2">
      <c r="A2" s="2" t="s">
        <v>200</v>
      </c>
    </row>
    <row r="3" spans="1:11" ht="15" customHeight="1" x14ac:dyDescent="0.2">
      <c r="A3" s="2" t="s">
        <v>201</v>
      </c>
    </row>
    <row r="5" spans="1:11" ht="15" customHeight="1" x14ac:dyDescent="0.2">
      <c r="A5" s="3" t="s">
        <v>202</v>
      </c>
    </row>
    <row r="6" spans="1:11" ht="15" customHeight="1" x14ac:dyDescent="0.2">
      <c r="A6" s="4" t="s">
        <v>203</v>
      </c>
      <c r="B6" s="29">
        <v>252</v>
      </c>
    </row>
    <row r="7" spans="1:11" ht="15" customHeight="1" x14ac:dyDescent="0.2">
      <c r="A7" s="4" t="s">
        <v>204</v>
      </c>
      <c r="B7" s="6" t="s">
        <v>205</v>
      </c>
    </row>
    <row r="8" spans="1:11" ht="15" customHeight="1" x14ac:dyDescent="0.2">
      <c r="A8" s="4" t="s">
        <v>206</v>
      </c>
      <c r="B8" s="2" t="s">
        <v>207</v>
      </c>
    </row>
    <row r="10" spans="1:11" ht="15" customHeight="1" x14ac:dyDescent="0.2">
      <c r="A10" s="3" t="s">
        <v>208</v>
      </c>
    </row>
    <row r="11" spans="1:11" ht="15" customHeight="1" x14ac:dyDescent="0.2">
      <c r="A11" s="8" t="s">
        <v>135</v>
      </c>
      <c r="B11" s="8" t="s">
        <v>148</v>
      </c>
      <c r="C11" s="8" t="s">
        <v>151</v>
      </c>
      <c r="D11" s="8" t="s">
        <v>154</v>
      </c>
      <c r="E11" s="8" t="s">
        <v>156</v>
      </c>
      <c r="F11" s="8" t="s">
        <v>159</v>
      </c>
      <c r="G11" s="8" t="s">
        <v>162</v>
      </c>
      <c r="H11" s="8" t="s">
        <v>165</v>
      </c>
      <c r="I11" s="8" t="s">
        <v>168</v>
      </c>
      <c r="J11" s="8" t="s">
        <v>171</v>
      </c>
      <c r="K11" s="8" t="s">
        <v>209</v>
      </c>
    </row>
    <row r="12" spans="1:11" ht="15" customHeight="1" x14ac:dyDescent="0.2">
      <c r="A12" s="9" t="s">
        <v>210</v>
      </c>
      <c r="B12" s="19">
        <f>Positions!L5</f>
        <v>0.19385838122829843</v>
      </c>
      <c r="C12" s="19">
        <f>Positions!L6</f>
        <v>0.16466155984094266</v>
      </c>
      <c r="D12" s="19">
        <f>Positions!L7</f>
        <v>0.12587265534246853</v>
      </c>
      <c r="E12" s="19">
        <f>Positions!L8</f>
        <v>0.10458942920011502</v>
      </c>
      <c r="F12" s="19">
        <f>Positions!L9</f>
        <v>9.0250709081949473E-2</v>
      </c>
      <c r="G12" s="19">
        <f>Positions!L10</f>
        <v>4.210787673185111E-2</v>
      </c>
      <c r="H12" s="19">
        <f>Positions!L11</f>
        <v>0.10381289104016843</v>
      </c>
      <c r="I12" s="19">
        <f>Positions!L12</f>
        <v>0.10204699512668466</v>
      </c>
      <c r="J12" s="19">
        <f>Positions!L13</f>
        <v>7.2799502407521657E-2</v>
      </c>
      <c r="K12" s="30">
        <f>SUM(B12:J12)</f>
        <v>1</v>
      </c>
    </row>
    <row r="14" spans="1:11" ht="15" customHeight="1" x14ac:dyDescent="0.2">
      <c r="A14" s="3" t="s">
        <v>211</v>
      </c>
    </row>
    <row r="15" spans="1:11" ht="15" customHeight="1" x14ac:dyDescent="0.2">
      <c r="A15" s="2" t="s">
        <v>212</v>
      </c>
    </row>
    <row r="17" spans="1:22" ht="30" customHeight="1" x14ac:dyDescent="0.2">
      <c r="A17" s="8" t="s">
        <v>213</v>
      </c>
      <c r="B17" s="8" t="s">
        <v>148</v>
      </c>
      <c r="C17" s="8" t="s">
        <v>151</v>
      </c>
      <c r="D17" s="8" t="s">
        <v>154</v>
      </c>
      <c r="E17" s="8" t="s">
        <v>156</v>
      </c>
      <c r="F17" s="8" t="s">
        <v>159</v>
      </c>
      <c r="G17" s="8" t="s">
        <v>162</v>
      </c>
      <c r="H17" s="8" t="s">
        <v>165</v>
      </c>
      <c r="I17" s="8" t="s">
        <v>168</v>
      </c>
      <c r="J17" s="8" t="s">
        <v>171</v>
      </c>
      <c r="L17" s="31" t="s">
        <v>214</v>
      </c>
      <c r="N17" s="8" t="s">
        <v>215</v>
      </c>
      <c r="O17" s="8" t="s">
        <v>216</v>
      </c>
      <c r="P17" s="8" t="s">
        <v>217</v>
      </c>
      <c r="Q17" s="8" t="s">
        <v>218</v>
      </c>
      <c r="R17" s="8" t="s">
        <v>219</v>
      </c>
      <c r="S17" s="8" t="s">
        <v>220</v>
      </c>
      <c r="T17" s="8" t="s">
        <v>221</v>
      </c>
      <c r="U17" s="8" t="s">
        <v>222</v>
      </c>
      <c r="V17" s="8" t="s">
        <v>223</v>
      </c>
    </row>
    <row r="18" spans="1:22" ht="15" customHeight="1" x14ac:dyDescent="0.2">
      <c r="A18" s="32">
        <v>45903</v>
      </c>
      <c r="B18" s="33">
        <v>643.739990234375</v>
      </c>
      <c r="C18" s="33">
        <v>238.47000122070301</v>
      </c>
      <c r="D18" s="33">
        <v>505.35000610351602</v>
      </c>
      <c r="E18" s="33">
        <v>178</v>
      </c>
      <c r="F18" s="33">
        <v>299.510009765625</v>
      </c>
      <c r="G18" s="33">
        <v>71.629997253417997</v>
      </c>
      <c r="H18" s="33">
        <v>86.569999694824205</v>
      </c>
      <c r="I18" s="33">
        <v>328.14001464843801</v>
      </c>
      <c r="J18" s="33">
        <v>90.760002136230497</v>
      </c>
      <c r="L18" s="34"/>
      <c r="N18" s="34"/>
      <c r="O18" s="34"/>
      <c r="P18" s="34"/>
      <c r="Q18" s="34"/>
      <c r="R18" s="34"/>
      <c r="S18" s="34"/>
      <c r="T18" s="34"/>
      <c r="U18" s="34"/>
      <c r="V18" s="34"/>
    </row>
    <row r="19" spans="1:22" ht="15" customHeight="1" x14ac:dyDescent="0.2">
      <c r="A19" s="32">
        <v>45904</v>
      </c>
      <c r="B19" s="33">
        <v>649.11999511718795</v>
      </c>
      <c r="C19" s="33">
        <v>239.77999877929699</v>
      </c>
      <c r="D19" s="33">
        <v>507.97000122070301</v>
      </c>
      <c r="E19" s="33">
        <v>178.75999450683599</v>
      </c>
      <c r="F19" s="33">
        <v>303.82000732421898</v>
      </c>
      <c r="G19" s="33">
        <v>70.870002746582003</v>
      </c>
      <c r="H19" s="33">
        <v>87.230003356933594</v>
      </c>
      <c r="I19" s="33">
        <v>326.69000244140602</v>
      </c>
      <c r="J19" s="33">
        <v>91.440002441406307</v>
      </c>
      <c r="L19" s="34">
        <f t="shared" ref="L19:L82" si="0">IF(COUNT(N19:V19)&lt;9,"",SUMPRODUCT($B$12:$J$12,N19:V19))</f>
        <v>5.361766562509012E-3</v>
      </c>
      <c r="N19" s="34">
        <f t="shared" ref="N19:N82" si="1">IF(OR(B19="",B18="",B18=0),"",B19/B18-1)</f>
        <v>8.3574190891173572E-3</v>
      </c>
      <c r="O19" s="34">
        <f t="shared" ref="O19:O82" si="2">IF(OR(C19="",C18="",C18=0),"",C19/C18-1)</f>
        <v>5.4933431957404633E-3</v>
      </c>
      <c r="P19" s="34">
        <f t="shared" ref="P19:P82" si="3">IF(OR(D19="",D18="",D18=0),"",D19/D18-1)</f>
        <v>5.1845158514756129E-3</v>
      </c>
      <c r="Q19" s="34">
        <f t="shared" ref="Q19:Q82" si="4">IF(OR(E19="",E18="",E18=0),"",E19/E18-1)</f>
        <v>4.2696320608763827E-3</v>
      </c>
      <c r="R19" s="34">
        <f t="shared" ref="R19:R82" si="5">IF(OR(F19="",F18="",F18=0),"",F19/F18-1)</f>
        <v>1.4390161991469475E-2</v>
      </c>
      <c r="S19" s="34">
        <f t="shared" ref="S19:S82" si="6">IF(OR(G19="",G18="",G18=0),"",G19/G18-1)</f>
        <v>-1.0610003294391102E-2</v>
      </c>
      <c r="T19" s="34">
        <f t="shared" ref="T19:T82" si="7">IF(OR(H19="",H18="",H18=0),"",H19/H18-1)</f>
        <v>7.6239305121408307E-3</v>
      </c>
      <c r="U19" s="34">
        <f t="shared" ref="U19:U82" si="8">IF(OR(I19="",I18="",I18=0),"",I19/I18-1)</f>
        <v>-4.4188826180967533E-3</v>
      </c>
      <c r="V19" s="34">
        <f t="shared" ref="V19:V82" si="9">IF(OR(J19="",J18="",J18=0),"",J19/J18-1)</f>
        <v>7.4922905373573379E-3</v>
      </c>
    </row>
    <row r="20" spans="1:22" ht="15" customHeight="1" x14ac:dyDescent="0.2">
      <c r="A20" s="32">
        <v>45905</v>
      </c>
      <c r="B20" s="33">
        <v>647.239990234375</v>
      </c>
      <c r="C20" s="33">
        <v>239.69000244140599</v>
      </c>
      <c r="D20" s="33">
        <v>495</v>
      </c>
      <c r="E20" s="33">
        <v>178.42999267578099</v>
      </c>
      <c r="F20" s="33">
        <v>294.38000488281301</v>
      </c>
      <c r="G20" s="33">
        <v>70.900001525878906</v>
      </c>
      <c r="H20" s="33">
        <v>88.559997558593807</v>
      </c>
      <c r="I20" s="33">
        <v>331.04998779296898</v>
      </c>
      <c r="J20" s="33">
        <v>92.470001220703097</v>
      </c>
      <c r="L20" s="34">
        <f t="shared" si="0"/>
        <v>-3.0518320261586187E-3</v>
      </c>
      <c r="N20" s="34">
        <f t="shared" si="1"/>
        <v>-2.8962362844384693E-3</v>
      </c>
      <c r="O20" s="34">
        <f t="shared" si="2"/>
        <v>-3.7532879451651624E-4</v>
      </c>
      <c r="P20" s="34">
        <f t="shared" si="3"/>
        <v>-2.5533006259296442E-2</v>
      </c>
      <c r="Q20" s="34">
        <f t="shared" si="4"/>
        <v>-1.8460608704168324E-3</v>
      </c>
      <c r="R20" s="34">
        <f t="shared" si="5"/>
        <v>-3.1071036185356116E-2</v>
      </c>
      <c r="S20" s="34">
        <f t="shared" si="6"/>
        <v>4.2329304549593161E-4</v>
      </c>
      <c r="T20" s="34">
        <f t="shared" si="7"/>
        <v>1.5246980975319291E-2</v>
      </c>
      <c r="U20" s="34">
        <f t="shared" si="8"/>
        <v>1.3345940552144553E-2</v>
      </c>
      <c r="V20" s="34">
        <f t="shared" si="9"/>
        <v>1.126420332235667E-2</v>
      </c>
    </row>
    <row r="21" spans="1:22" ht="15" customHeight="1" x14ac:dyDescent="0.2">
      <c r="A21" s="32">
        <v>45908</v>
      </c>
      <c r="B21" s="33">
        <v>648.83001708984398</v>
      </c>
      <c r="C21" s="33">
        <v>237.88000488281301</v>
      </c>
      <c r="D21" s="33">
        <v>498.20001220703102</v>
      </c>
      <c r="E21" s="33">
        <v>178.13000488281301</v>
      </c>
      <c r="F21" s="33">
        <v>292.91000366210898</v>
      </c>
      <c r="G21" s="33">
        <v>69.769996643066406</v>
      </c>
      <c r="H21" s="33">
        <v>89.739997863769503</v>
      </c>
      <c r="I21" s="33">
        <v>334.82000732421898</v>
      </c>
      <c r="J21" s="33">
        <v>91.930000305175795</v>
      </c>
      <c r="L21" s="34">
        <f t="shared" si="0"/>
        <v>8.6912868028605182E-4</v>
      </c>
      <c r="N21" s="34">
        <f t="shared" si="1"/>
        <v>2.4566264128600412E-3</v>
      </c>
      <c r="O21" s="34">
        <f t="shared" si="2"/>
        <v>-7.5514103223202067E-3</v>
      </c>
      <c r="P21" s="34">
        <f t="shared" si="3"/>
        <v>6.4646711253151246E-3</v>
      </c>
      <c r="Q21" s="34">
        <f t="shared" si="4"/>
        <v>-1.6812632700886621E-3</v>
      </c>
      <c r="R21" s="34">
        <f t="shared" si="5"/>
        <v>-4.9935498210526008E-3</v>
      </c>
      <c r="S21" s="34">
        <f t="shared" si="6"/>
        <v>-1.5938009287630894E-2</v>
      </c>
      <c r="T21" s="34">
        <f t="shared" si="7"/>
        <v>1.3324303722964448E-2</v>
      </c>
      <c r="U21" s="34">
        <f t="shared" si="8"/>
        <v>1.1388067271604019E-2</v>
      </c>
      <c r="V21" s="34">
        <f t="shared" si="9"/>
        <v>-5.8397416286223303E-3</v>
      </c>
    </row>
    <row r="22" spans="1:22" ht="15" customHeight="1" x14ac:dyDescent="0.2">
      <c r="A22" s="32">
        <v>45909</v>
      </c>
      <c r="B22" s="33">
        <v>650.33001708984398</v>
      </c>
      <c r="C22" s="33">
        <v>234.35000610351599</v>
      </c>
      <c r="D22" s="33">
        <v>498.41000366210898</v>
      </c>
      <c r="E22" s="33">
        <v>176.96000671386699</v>
      </c>
      <c r="F22" s="33">
        <v>297.85000610351602</v>
      </c>
      <c r="G22" s="33">
        <v>70.069999694824205</v>
      </c>
      <c r="H22" s="33">
        <v>89.230003356933594</v>
      </c>
      <c r="I22" s="33">
        <v>334.05999755859398</v>
      </c>
      <c r="J22" s="33">
        <v>91.720001220703097</v>
      </c>
      <c r="L22" s="34">
        <f t="shared" si="0"/>
        <v>-1.9139660080648457E-3</v>
      </c>
      <c r="N22" s="34">
        <f t="shared" si="1"/>
        <v>2.3118535833588361E-3</v>
      </c>
      <c r="O22" s="34">
        <f t="shared" si="2"/>
        <v>-1.4839409394816538E-2</v>
      </c>
      <c r="P22" s="34">
        <f t="shared" si="3"/>
        <v>4.2150030094889601E-4</v>
      </c>
      <c r="Q22" s="34">
        <f t="shared" si="4"/>
        <v>-6.5682262217178211E-3</v>
      </c>
      <c r="R22" s="34">
        <f t="shared" si="5"/>
        <v>1.6865256835357778E-2</v>
      </c>
      <c r="S22" s="34">
        <f t="shared" si="6"/>
        <v>4.2998862862582143E-3</v>
      </c>
      <c r="T22" s="34">
        <f t="shared" si="7"/>
        <v>-5.6830233895270865E-3</v>
      </c>
      <c r="U22" s="34">
        <f t="shared" si="8"/>
        <v>-2.269905468609168E-3</v>
      </c>
      <c r="V22" s="34">
        <f t="shared" si="9"/>
        <v>-2.2843368190533786E-3</v>
      </c>
    </row>
    <row r="23" spans="1:22" ht="15" customHeight="1" x14ac:dyDescent="0.2">
      <c r="A23" s="32">
        <v>45910</v>
      </c>
      <c r="B23" s="33">
        <v>652.21002197265602</v>
      </c>
      <c r="C23" s="33">
        <v>226.78999328613301</v>
      </c>
      <c r="D23" s="33">
        <v>500.36999511718801</v>
      </c>
      <c r="E23" s="33">
        <v>175.78999328613301</v>
      </c>
      <c r="F23" s="33">
        <v>300.54000854492199</v>
      </c>
      <c r="G23" s="33">
        <v>71.040000915527301</v>
      </c>
      <c r="H23" s="33">
        <v>89.739997863769503</v>
      </c>
      <c r="I23" s="33">
        <v>335.260009765625</v>
      </c>
      <c r="J23" s="33">
        <v>91.569999694824205</v>
      </c>
      <c r="L23" s="34">
        <f t="shared" si="0"/>
        <v>-2.7091476659865592E-3</v>
      </c>
      <c r="N23" s="34">
        <f t="shared" si="1"/>
        <v>2.8908474672979523E-3</v>
      </c>
      <c r="O23" s="34">
        <f t="shared" si="2"/>
        <v>-3.2259494860194748E-2</v>
      </c>
      <c r="P23" s="34">
        <f t="shared" si="3"/>
        <v>3.9324881938120892E-3</v>
      </c>
      <c r="Q23" s="34">
        <f t="shared" si="4"/>
        <v>-6.6117392820052023E-3</v>
      </c>
      <c r="R23" s="34">
        <f t="shared" si="5"/>
        <v>9.0313996517799033E-3</v>
      </c>
      <c r="S23" s="34">
        <f t="shared" si="6"/>
        <v>1.384331703907149E-2</v>
      </c>
      <c r="T23" s="34">
        <f t="shared" si="7"/>
        <v>5.7155047366281853E-3</v>
      </c>
      <c r="U23" s="34">
        <f t="shared" si="8"/>
        <v>3.5922056391100021E-3</v>
      </c>
      <c r="V23" s="34">
        <f t="shared" si="9"/>
        <v>-1.6354287383615329E-3</v>
      </c>
    </row>
    <row r="24" spans="1:22" ht="15" customHeight="1" x14ac:dyDescent="0.2">
      <c r="A24" s="32">
        <v>45911</v>
      </c>
      <c r="B24" s="33">
        <v>657.63000488281295</v>
      </c>
      <c r="C24" s="33">
        <v>230.02999877929699</v>
      </c>
      <c r="D24" s="33">
        <v>501.010009765625</v>
      </c>
      <c r="E24" s="33">
        <v>178.5</v>
      </c>
      <c r="F24" s="33">
        <v>305.55999755859398</v>
      </c>
      <c r="G24" s="33">
        <v>71.319999694824205</v>
      </c>
      <c r="H24" s="33">
        <v>90.339996337890597</v>
      </c>
      <c r="I24" s="33">
        <v>334.760009765625</v>
      </c>
      <c r="J24" s="33">
        <v>93.239997863769503</v>
      </c>
      <c r="L24" s="34">
        <f t="shared" si="0"/>
        <v>9.2797979662088432E-3</v>
      </c>
      <c r="N24" s="34">
        <f t="shared" si="1"/>
        <v>8.3101803522793727E-3</v>
      </c>
      <c r="O24" s="34">
        <f t="shared" si="2"/>
        <v>1.4286368839370178E-2</v>
      </c>
      <c r="P24" s="34">
        <f t="shared" si="3"/>
        <v>1.2790827881017375E-3</v>
      </c>
      <c r="Q24" s="34">
        <f t="shared" si="4"/>
        <v>1.5416160289942749E-2</v>
      </c>
      <c r="R24" s="34">
        <f t="shared" si="5"/>
        <v>1.6703230421721615E-2</v>
      </c>
      <c r="S24" s="34">
        <f t="shared" si="6"/>
        <v>3.9414242073256833E-3</v>
      </c>
      <c r="T24" s="34">
        <f t="shared" si="7"/>
        <v>6.6859648808095251E-3</v>
      </c>
      <c r="U24" s="34">
        <f t="shared" si="8"/>
        <v>-1.4913797811720864E-3</v>
      </c>
      <c r="V24" s="34">
        <f t="shared" si="9"/>
        <v>1.8237394064769097E-2</v>
      </c>
    </row>
    <row r="25" spans="1:22" ht="15" customHeight="1" x14ac:dyDescent="0.2">
      <c r="A25" s="32">
        <v>45912</v>
      </c>
      <c r="B25" s="33">
        <v>657.40997314453102</v>
      </c>
      <c r="C25" s="33">
        <v>234.07000732421901</v>
      </c>
      <c r="D25" s="33">
        <v>509.89999389648398</v>
      </c>
      <c r="E25" s="33">
        <v>178.05999755859401</v>
      </c>
      <c r="F25" s="33">
        <v>306.91000366210898</v>
      </c>
      <c r="G25" s="33">
        <v>71.639999389648395</v>
      </c>
      <c r="H25" s="33">
        <v>89.949996948242202</v>
      </c>
      <c r="I25" s="33">
        <v>335.42001342773398</v>
      </c>
      <c r="J25" s="33">
        <v>92.809997558593807</v>
      </c>
      <c r="L25" s="34">
        <f t="shared" si="0"/>
        <v>4.8077381016378533E-3</v>
      </c>
      <c r="N25" s="34">
        <f t="shared" si="1"/>
        <v>-3.3458287585452773E-4</v>
      </c>
      <c r="O25" s="34">
        <f t="shared" si="2"/>
        <v>1.7562963814985677E-2</v>
      </c>
      <c r="P25" s="34">
        <f t="shared" si="3"/>
        <v>1.7744124783091175E-2</v>
      </c>
      <c r="Q25" s="34">
        <f t="shared" si="4"/>
        <v>-2.4649996717422962E-3</v>
      </c>
      <c r="R25" s="34">
        <f t="shared" si="5"/>
        <v>4.4181375648038035E-3</v>
      </c>
      <c r="S25" s="34">
        <f t="shared" si="6"/>
        <v>4.4868157065824921E-3</v>
      </c>
      <c r="T25" s="34">
        <f t="shared" si="7"/>
        <v>-4.3170179926698138E-3</v>
      </c>
      <c r="U25" s="34">
        <f t="shared" si="8"/>
        <v>1.9715725978473042E-3</v>
      </c>
      <c r="V25" s="34">
        <f t="shared" si="9"/>
        <v>-4.6117579904276784E-3</v>
      </c>
    </row>
    <row r="26" spans="1:22" ht="15" customHeight="1" x14ac:dyDescent="0.2">
      <c r="A26" s="32">
        <v>45915</v>
      </c>
      <c r="B26" s="33">
        <v>660.90997314453102</v>
      </c>
      <c r="C26" s="33">
        <v>236.69999694824199</v>
      </c>
      <c r="D26" s="33">
        <v>515.35998535156295</v>
      </c>
      <c r="E26" s="33">
        <v>177.39999389648401</v>
      </c>
      <c r="F26" s="33">
        <v>308.89999389648398</v>
      </c>
      <c r="G26" s="33">
        <v>71.5</v>
      </c>
      <c r="H26" s="33">
        <v>90.160003662109403</v>
      </c>
      <c r="I26" s="33">
        <v>338.91000366210898</v>
      </c>
      <c r="J26" s="33">
        <v>92.660003662109403</v>
      </c>
      <c r="L26" s="34">
        <f t="shared" si="0"/>
        <v>5.5317691396499832E-3</v>
      </c>
      <c r="N26" s="34">
        <f t="shared" si="1"/>
        <v>5.323922883704979E-3</v>
      </c>
      <c r="O26" s="34">
        <f t="shared" si="2"/>
        <v>1.1235910376078628E-2</v>
      </c>
      <c r="P26" s="34">
        <f t="shared" si="3"/>
        <v>1.0707965327388047E-2</v>
      </c>
      <c r="Q26" s="34">
        <f t="shared" si="4"/>
        <v>-3.706636365042093E-3</v>
      </c>
      <c r="R26" s="34">
        <f t="shared" si="5"/>
        <v>6.4839536366689821E-3</v>
      </c>
      <c r="S26" s="34">
        <f t="shared" si="6"/>
        <v>-1.9542070189998428E-3</v>
      </c>
      <c r="T26" s="34">
        <f t="shared" si="7"/>
        <v>2.3347050693958149E-3</v>
      </c>
      <c r="U26" s="34">
        <f t="shared" si="8"/>
        <v>1.040483601055886E-2</v>
      </c>
      <c r="V26" s="34">
        <f t="shared" si="9"/>
        <v>-1.6161394292646403E-3</v>
      </c>
    </row>
    <row r="27" spans="1:22" ht="15" customHeight="1" x14ac:dyDescent="0.2">
      <c r="A27" s="32">
        <v>45916</v>
      </c>
      <c r="B27" s="33">
        <v>660</v>
      </c>
      <c r="C27" s="33">
        <v>238.14999389648401</v>
      </c>
      <c r="D27" s="33">
        <v>509.04000854492199</v>
      </c>
      <c r="E27" s="33">
        <v>176.46000671386699</v>
      </c>
      <c r="F27" s="33">
        <v>309.19000244140602</v>
      </c>
      <c r="G27" s="33">
        <v>69.830001831054702</v>
      </c>
      <c r="H27" s="33">
        <v>90.349998474121094</v>
      </c>
      <c r="I27" s="33">
        <v>339.58999633789102</v>
      </c>
      <c r="J27" s="33">
        <v>92.169998168945298</v>
      </c>
      <c r="L27" s="34">
        <f t="shared" si="0"/>
        <v>-2.2162392056486887E-3</v>
      </c>
      <c r="N27" s="34">
        <f t="shared" si="1"/>
        <v>-1.3768488621853647E-3</v>
      </c>
      <c r="O27" s="34">
        <f t="shared" si="2"/>
        <v>6.1258849469232324E-3</v>
      </c>
      <c r="P27" s="34">
        <f t="shared" si="3"/>
        <v>-1.2263227620067707E-2</v>
      </c>
      <c r="Q27" s="34">
        <f t="shared" si="4"/>
        <v>-5.298687795702639E-3</v>
      </c>
      <c r="R27" s="34">
        <f t="shared" si="5"/>
        <v>9.3884283150624803E-4</v>
      </c>
      <c r="S27" s="34">
        <f t="shared" si="6"/>
        <v>-2.3356617747486652E-2</v>
      </c>
      <c r="T27" s="34">
        <f t="shared" si="7"/>
        <v>2.1073070573924824E-3</v>
      </c>
      <c r="U27" s="34">
        <f t="shared" si="8"/>
        <v>2.0064107533988018E-3</v>
      </c>
      <c r="V27" s="34">
        <f t="shared" si="9"/>
        <v>-5.2882093006486608E-3</v>
      </c>
    </row>
    <row r="28" spans="1:22" ht="15" customHeight="1" x14ac:dyDescent="0.2">
      <c r="A28" s="32">
        <v>45917</v>
      </c>
      <c r="B28" s="33">
        <v>659.17999267578102</v>
      </c>
      <c r="C28" s="33">
        <v>238.99000549316401</v>
      </c>
      <c r="D28" s="33">
        <v>510.01998901367199</v>
      </c>
      <c r="E28" s="33">
        <v>177.19999694824199</v>
      </c>
      <c r="F28" s="33">
        <v>311.75</v>
      </c>
      <c r="G28" s="33">
        <v>70.309997558593807</v>
      </c>
      <c r="H28" s="33">
        <v>90.120002746582003</v>
      </c>
      <c r="I28" s="33">
        <v>336.97000122070301</v>
      </c>
      <c r="J28" s="33">
        <v>92.050003051757798</v>
      </c>
      <c r="L28" s="34">
        <f t="shared" si="0"/>
        <v>9.1120111808565686E-4</v>
      </c>
      <c r="N28" s="34">
        <f t="shared" si="1"/>
        <v>-1.2424353397256782E-3</v>
      </c>
      <c r="O28" s="34">
        <f t="shared" si="2"/>
        <v>3.5272375318435856E-3</v>
      </c>
      <c r="P28" s="34">
        <f t="shared" si="3"/>
        <v>1.9251541181433129E-3</v>
      </c>
      <c r="Q28" s="34">
        <f t="shared" si="4"/>
        <v>4.1935294470145656E-3</v>
      </c>
      <c r="R28" s="34">
        <f t="shared" si="5"/>
        <v>8.2796906057114317E-3</v>
      </c>
      <c r="S28" s="34">
        <f t="shared" si="6"/>
        <v>6.8737750959879662E-3</v>
      </c>
      <c r="T28" s="34">
        <f t="shared" si="7"/>
        <v>-2.5456085381668769E-3</v>
      </c>
      <c r="U28" s="34">
        <f t="shared" si="8"/>
        <v>-7.7151716641885582E-3</v>
      </c>
      <c r="V28" s="34">
        <f t="shared" si="9"/>
        <v>-1.3018891132834387E-3</v>
      </c>
    </row>
    <row r="29" spans="1:22" ht="15" customHeight="1" x14ac:dyDescent="0.2">
      <c r="A29" s="32">
        <v>45918</v>
      </c>
      <c r="B29" s="33">
        <v>662.260009765625</v>
      </c>
      <c r="C29" s="33">
        <v>237.88000488281301</v>
      </c>
      <c r="D29" s="33">
        <v>508.45001220703102</v>
      </c>
      <c r="E29" s="33">
        <v>174.16000366210901</v>
      </c>
      <c r="F29" s="33">
        <v>313.23001098632801</v>
      </c>
      <c r="G29" s="33">
        <v>70.790000915527301</v>
      </c>
      <c r="H29" s="33">
        <v>89.190002441406307</v>
      </c>
      <c r="I29" s="33">
        <v>335.61999511718801</v>
      </c>
      <c r="J29" s="33">
        <v>92.25</v>
      </c>
      <c r="L29" s="34">
        <f t="shared" si="0"/>
        <v>-2.6467899739425738E-3</v>
      </c>
      <c r="N29" s="34">
        <f t="shared" si="1"/>
        <v>4.6724978368068992E-3</v>
      </c>
      <c r="O29" s="34">
        <f t="shared" si="2"/>
        <v>-4.644548244017499E-3</v>
      </c>
      <c r="P29" s="34">
        <f t="shared" si="3"/>
        <v>-3.0782652454017789E-3</v>
      </c>
      <c r="Q29" s="34">
        <f t="shared" si="4"/>
        <v>-1.715571861449261E-2</v>
      </c>
      <c r="R29" s="34">
        <f t="shared" si="5"/>
        <v>4.7474289858155938E-3</v>
      </c>
      <c r="S29" s="34">
        <f t="shared" si="6"/>
        <v>6.8269573830304076E-3</v>
      </c>
      <c r="T29" s="34">
        <f t="shared" si="7"/>
        <v>-1.0319576973281563E-2</v>
      </c>
      <c r="U29" s="34">
        <f t="shared" si="8"/>
        <v>-4.0063094596685112E-3</v>
      </c>
      <c r="V29" s="34">
        <f t="shared" si="9"/>
        <v>2.172698985460686E-3</v>
      </c>
    </row>
    <row r="30" spans="1:22" ht="15" customHeight="1" x14ac:dyDescent="0.2">
      <c r="A30" s="32">
        <v>45919</v>
      </c>
      <c r="B30" s="33">
        <v>663.70001220703102</v>
      </c>
      <c r="C30" s="33">
        <v>245.5</v>
      </c>
      <c r="D30" s="33">
        <v>517.92999267578102</v>
      </c>
      <c r="E30" s="33">
        <v>176.19000244140599</v>
      </c>
      <c r="F30" s="33">
        <v>314.77999877929699</v>
      </c>
      <c r="G30" s="33">
        <v>71.080001831054702</v>
      </c>
      <c r="H30" s="33">
        <v>89.019996643066406</v>
      </c>
      <c r="I30" s="33">
        <v>339.17999267578102</v>
      </c>
      <c r="J30" s="33">
        <v>91.650001525878906</v>
      </c>
      <c r="L30" s="34">
        <f t="shared" si="0"/>
        <v>1.0292243910065668E-2</v>
      </c>
      <c r="N30" s="34">
        <f t="shared" si="1"/>
        <v>2.1743762573187553E-3</v>
      </c>
      <c r="O30" s="34">
        <f t="shared" si="2"/>
        <v>3.2032936609955209E-2</v>
      </c>
      <c r="P30" s="34">
        <f t="shared" si="3"/>
        <v>1.8644862309276311E-2</v>
      </c>
      <c r="Q30" s="34">
        <f t="shared" si="4"/>
        <v>1.1655941298872596E-2</v>
      </c>
      <c r="R30" s="34">
        <f t="shared" si="5"/>
        <v>4.948401298101146E-3</v>
      </c>
      <c r="S30" s="34">
        <f t="shared" si="6"/>
        <v>4.0966366969461543E-3</v>
      </c>
      <c r="T30" s="34">
        <f t="shared" si="7"/>
        <v>-1.9061082373171834E-3</v>
      </c>
      <c r="U30" s="34">
        <f t="shared" si="8"/>
        <v>1.0607227252208196E-2</v>
      </c>
      <c r="V30" s="34">
        <f t="shared" si="9"/>
        <v>-6.5040484999576709E-3</v>
      </c>
    </row>
    <row r="31" spans="1:22" ht="15" customHeight="1" x14ac:dyDescent="0.2">
      <c r="A31" s="32">
        <v>45922</v>
      </c>
      <c r="B31" s="33">
        <v>666.84002685546898</v>
      </c>
      <c r="C31" s="33">
        <v>256.07998657226602</v>
      </c>
      <c r="D31" s="33">
        <v>514.45001220703102</v>
      </c>
      <c r="E31" s="33">
        <v>174.21000671386699</v>
      </c>
      <c r="F31" s="33">
        <v>312.44000244140602</v>
      </c>
      <c r="G31" s="33">
        <v>72.349998474121094</v>
      </c>
      <c r="H31" s="33">
        <v>88.699996948242202</v>
      </c>
      <c r="I31" s="33">
        <v>345.04998779296898</v>
      </c>
      <c r="J31" s="33">
        <v>91.669998168945298</v>
      </c>
      <c r="L31" s="34">
        <f t="shared" si="0"/>
        <v>7.4824818899855063E-3</v>
      </c>
      <c r="N31" s="34">
        <f t="shared" si="1"/>
        <v>4.731075170537169E-3</v>
      </c>
      <c r="O31" s="34">
        <f t="shared" si="2"/>
        <v>4.3095668318802627E-2</v>
      </c>
      <c r="P31" s="34">
        <f t="shared" si="3"/>
        <v>-6.7190170833154594E-3</v>
      </c>
      <c r="Q31" s="34">
        <f t="shared" si="4"/>
        <v>-1.1237843805567138E-2</v>
      </c>
      <c r="R31" s="34">
        <f t="shared" si="5"/>
        <v>-7.4337516581910457E-3</v>
      </c>
      <c r="S31" s="34">
        <f t="shared" si="6"/>
        <v>1.7867144208647545E-2</v>
      </c>
      <c r="T31" s="34">
        <f t="shared" si="7"/>
        <v>-3.5946945280987963E-3</v>
      </c>
      <c r="U31" s="34">
        <f t="shared" si="8"/>
        <v>1.7306430933262673E-2</v>
      </c>
      <c r="V31" s="34">
        <f t="shared" si="9"/>
        <v>2.1818486343128107E-4</v>
      </c>
    </row>
    <row r="32" spans="1:22" ht="15" customHeight="1" x14ac:dyDescent="0.2">
      <c r="A32" s="32">
        <v>45923</v>
      </c>
      <c r="B32" s="33">
        <v>663.21002197265602</v>
      </c>
      <c r="C32" s="33">
        <v>254.42999267578099</v>
      </c>
      <c r="D32" s="33">
        <v>509.23001098632801</v>
      </c>
      <c r="E32" s="33">
        <v>176.580001831055</v>
      </c>
      <c r="F32" s="33">
        <v>312.739990234375</v>
      </c>
      <c r="G32" s="33">
        <v>72.319999694824205</v>
      </c>
      <c r="H32" s="33">
        <v>89.319999694824205</v>
      </c>
      <c r="I32" s="33">
        <v>346.45999145507801</v>
      </c>
      <c r="J32" s="33">
        <v>92.169998168945298</v>
      </c>
      <c r="L32" s="34">
        <f t="shared" si="0"/>
        <v>-3.6167486189872631E-4</v>
      </c>
      <c r="N32" s="34">
        <f t="shared" si="1"/>
        <v>-5.4435917710736748E-3</v>
      </c>
      <c r="O32" s="34">
        <f t="shared" si="2"/>
        <v>-6.4432754725227692E-3</v>
      </c>
      <c r="P32" s="34">
        <f t="shared" si="3"/>
        <v>-1.0146760806377997E-2</v>
      </c>
      <c r="Q32" s="34">
        <f t="shared" si="4"/>
        <v>1.3604242155162982E-2</v>
      </c>
      <c r="R32" s="34">
        <f t="shared" si="5"/>
        <v>9.6014527789289872E-4</v>
      </c>
      <c r="S32" s="34">
        <f t="shared" si="6"/>
        <v>-4.1463413862574683E-4</v>
      </c>
      <c r="T32" s="34">
        <f t="shared" si="7"/>
        <v>6.989884643894495E-3</v>
      </c>
      <c r="U32" s="34">
        <f t="shared" si="8"/>
        <v>4.0863750528663534E-3</v>
      </c>
      <c r="V32" s="34">
        <f t="shared" si="9"/>
        <v>5.4543472235977219E-3</v>
      </c>
    </row>
    <row r="33" spans="1:22" ht="15" customHeight="1" x14ac:dyDescent="0.2">
      <c r="A33" s="32">
        <v>45924</v>
      </c>
      <c r="B33" s="33">
        <v>661.09997558593795</v>
      </c>
      <c r="C33" s="33">
        <v>252.30999755859401</v>
      </c>
      <c r="D33" s="33">
        <v>510.14999389648398</v>
      </c>
      <c r="E33" s="33">
        <v>176.69000244140599</v>
      </c>
      <c r="F33" s="33">
        <v>313.42001342773398</v>
      </c>
      <c r="G33" s="33">
        <v>73.830001831054702</v>
      </c>
      <c r="H33" s="33">
        <v>88.980003356933594</v>
      </c>
      <c r="I33" s="33">
        <v>343.32000732421898</v>
      </c>
      <c r="J33" s="33">
        <v>90.400001525878906</v>
      </c>
      <c r="L33" s="34">
        <f t="shared" si="0"/>
        <v>-3.3388330748175183E-3</v>
      </c>
      <c r="N33" s="34">
        <f t="shared" si="1"/>
        <v>-3.1815658943782354E-3</v>
      </c>
      <c r="O33" s="34">
        <f t="shared" si="2"/>
        <v>-8.3323317934788088E-3</v>
      </c>
      <c r="P33" s="34">
        <f t="shared" si="3"/>
        <v>1.8066156556131308E-3</v>
      </c>
      <c r="Q33" s="34">
        <f t="shared" si="4"/>
        <v>6.2295055618033501E-4</v>
      </c>
      <c r="R33" s="34">
        <f t="shared" si="5"/>
        <v>2.174404344162495E-3</v>
      </c>
      <c r="S33" s="34">
        <f t="shared" si="6"/>
        <v>2.0879454405453579E-2</v>
      </c>
      <c r="T33" s="34">
        <f t="shared" si="7"/>
        <v>-3.806497302421219E-3</v>
      </c>
      <c r="U33" s="34">
        <f t="shared" si="8"/>
        <v>-9.0630497266700472E-3</v>
      </c>
      <c r="V33" s="34">
        <f t="shared" si="9"/>
        <v>-1.9203609398169119E-2</v>
      </c>
    </row>
    <row r="34" spans="1:22" ht="15" customHeight="1" x14ac:dyDescent="0.2">
      <c r="A34" s="32">
        <v>45925</v>
      </c>
      <c r="B34" s="33">
        <v>658.04998779296898</v>
      </c>
      <c r="C34" s="33">
        <v>256.86999511718801</v>
      </c>
      <c r="D34" s="33">
        <v>507.02999877929699</v>
      </c>
      <c r="E34" s="33">
        <v>177.72999572753901</v>
      </c>
      <c r="F34" s="33">
        <v>313.45001220703102</v>
      </c>
      <c r="G34" s="33">
        <v>74.650001525878906</v>
      </c>
      <c r="H34" s="33">
        <v>88.980003356933594</v>
      </c>
      <c r="I34" s="33">
        <v>344.75</v>
      </c>
      <c r="J34" s="33">
        <v>90.129997253417997</v>
      </c>
      <c r="L34" s="34">
        <f t="shared" si="0"/>
        <v>2.6112779812862588E-3</v>
      </c>
      <c r="N34" s="34">
        <f t="shared" si="1"/>
        <v>-4.6135046219987208E-3</v>
      </c>
      <c r="O34" s="34">
        <f t="shared" si="2"/>
        <v>1.8072995928490876E-2</v>
      </c>
      <c r="P34" s="34">
        <f t="shared" si="3"/>
        <v>-6.1158387817604742E-3</v>
      </c>
      <c r="Q34" s="34">
        <f t="shared" si="4"/>
        <v>5.8859769752841462E-3</v>
      </c>
      <c r="R34" s="34">
        <f t="shared" si="5"/>
        <v>9.5714306718841513E-5</v>
      </c>
      <c r="S34" s="34">
        <f t="shared" si="6"/>
        <v>1.1106591825645662E-2</v>
      </c>
      <c r="T34" s="34">
        <f t="shared" si="7"/>
        <v>0</v>
      </c>
      <c r="U34" s="34">
        <f t="shared" si="8"/>
        <v>4.1651888770659617E-3</v>
      </c>
      <c r="V34" s="34">
        <f t="shared" si="9"/>
        <v>-2.986772875038235E-3</v>
      </c>
    </row>
    <row r="35" spans="1:22" ht="15" customHeight="1" x14ac:dyDescent="0.2">
      <c r="A35" s="32">
        <v>45926</v>
      </c>
      <c r="B35" s="33">
        <v>661.82000732421898</v>
      </c>
      <c r="C35" s="33">
        <v>255.46000671386699</v>
      </c>
      <c r="D35" s="33">
        <v>511.45999145507801</v>
      </c>
      <c r="E35" s="33">
        <v>179.71000671386699</v>
      </c>
      <c r="F35" s="33">
        <v>316.05999755859398</v>
      </c>
      <c r="G35" s="33">
        <v>75.849998474121094</v>
      </c>
      <c r="H35" s="33">
        <v>88.900001525878906</v>
      </c>
      <c r="I35" s="33">
        <v>346.739990234375</v>
      </c>
      <c r="J35" s="33">
        <v>91.019996643066406</v>
      </c>
      <c r="L35" s="34">
        <f t="shared" si="0"/>
        <v>5.1146757831467948E-3</v>
      </c>
      <c r="N35" s="34">
        <f t="shared" si="1"/>
        <v>5.7290777314566999E-3</v>
      </c>
      <c r="O35" s="34">
        <f t="shared" si="2"/>
        <v>-5.4891128980547599E-3</v>
      </c>
      <c r="P35" s="34">
        <f t="shared" si="3"/>
        <v>8.7371411680698952E-3</v>
      </c>
      <c r="Q35" s="34">
        <f t="shared" si="4"/>
        <v>1.114055609028064E-2</v>
      </c>
      <c r="R35" s="34">
        <f t="shared" si="5"/>
        <v>8.3266398147054943E-3</v>
      </c>
      <c r="S35" s="34">
        <f t="shared" si="6"/>
        <v>1.607497553534798E-2</v>
      </c>
      <c r="T35" s="34">
        <f t="shared" si="7"/>
        <v>-8.9909898894668938E-4</v>
      </c>
      <c r="U35" s="34">
        <f t="shared" si="8"/>
        <v>5.7722704405365199E-3</v>
      </c>
      <c r="V35" s="34">
        <f t="shared" si="9"/>
        <v>9.8746190698975056E-3</v>
      </c>
    </row>
    <row r="36" spans="1:22" ht="15" customHeight="1" x14ac:dyDescent="0.2">
      <c r="A36" s="32">
        <v>45929</v>
      </c>
      <c r="B36" s="33">
        <v>663.67999267578102</v>
      </c>
      <c r="C36" s="33">
        <v>254.42999267578099</v>
      </c>
      <c r="D36" s="33">
        <v>514.59997558593795</v>
      </c>
      <c r="E36" s="33">
        <v>181.61999511718801</v>
      </c>
      <c r="F36" s="33">
        <v>315.69000244140602</v>
      </c>
      <c r="G36" s="33">
        <v>76.209999084472699</v>
      </c>
      <c r="H36" s="33">
        <v>89.629997253417997</v>
      </c>
      <c r="I36" s="33">
        <v>352.45999145507801</v>
      </c>
      <c r="J36" s="33">
        <v>91.050003051757798</v>
      </c>
      <c r="L36" s="34">
        <f t="shared" si="0"/>
        <v>4.4193377473296042E-3</v>
      </c>
      <c r="N36" s="34">
        <f t="shared" si="1"/>
        <v>2.8104096748027274E-3</v>
      </c>
      <c r="O36" s="34">
        <f t="shared" si="2"/>
        <v>-4.0319972246758429E-3</v>
      </c>
      <c r="P36" s="34">
        <f t="shared" si="3"/>
        <v>6.1392566052465014E-3</v>
      </c>
      <c r="Q36" s="34">
        <f t="shared" si="4"/>
        <v>1.0628169450586533E-2</v>
      </c>
      <c r="R36" s="34">
        <f t="shared" si="5"/>
        <v>-1.1706483580522509E-3</v>
      </c>
      <c r="S36" s="34">
        <f t="shared" si="6"/>
        <v>4.7462177665624772E-3</v>
      </c>
      <c r="T36" s="34">
        <f t="shared" si="7"/>
        <v>8.2114253656855318E-3</v>
      </c>
      <c r="U36" s="34">
        <f t="shared" si="8"/>
        <v>1.6496514338702806E-2</v>
      </c>
      <c r="V36" s="34">
        <f t="shared" si="9"/>
        <v>3.296683124376365E-4</v>
      </c>
    </row>
    <row r="37" spans="1:22" ht="15" customHeight="1" x14ac:dyDescent="0.2">
      <c r="A37" s="32">
        <v>45930</v>
      </c>
      <c r="B37" s="33">
        <v>666.17999267578102</v>
      </c>
      <c r="C37" s="33">
        <v>254.63000488281301</v>
      </c>
      <c r="D37" s="33">
        <v>517.95001220703102</v>
      </c>
      <c r="E37" s="33">
        <v>185.419998168945</v>
      </c>
      <c r="F37" s="33">
        <v>315.42999267578102</v>
      </c>
      <c r="G37" s="33">
        <v>75.489997863769503</v>
      </c>
      <c r="H37" s="33">
        <v>89.370002746582003</v>
      </c>
      <c r="I37" s="33">
        <v>355.47000122070301</v>
      </c>
      <c r="J37" s="33">
        <v>91.419998168945298</v>
      </c>
      <c r="L37" s="34">
        <f t="shared" si="0"/>
        <v>4.2614457286236848E-3</v>
      </c>
      <c r="N37" s="34">
        <f t="shared" si="1"/>
        <v>3.7668756442703621E-3</v>
      </c>
      <c r="O37" s="34">
        <f t="shared" si="2"/>
        <v>7.8611882556978152E-4</v>
      </c>
      <c r="P37" s="34">
        <f t="shared" si="3"/>
        <v>6.5099820832261734E-3</v>
      </c>
      <c r="Q37" s="34">
        <f t="shared" si="4"/>
        <v>2.0922823223869624E-2</v>
      </c>
      <c r="R37" s="34">
        <f t="shared" si="5"/>
        <v>-8.2362369290822635E-4</v>
      </c>
      <c r="S37" s="34">
        <f t="shared" si="6"/>
        <v>-9.4475951889874121E-3</v>
      </c>
      <c r="T37" s="34">
        <f t="shared" si="7"/>
        <v>-2.9007532612200793E-3</v>
      </c>
      <c r="U37" s="34">
        <f t="shared" si="8"/>
        <v>8.5400040815941658E-3</v>
      </c>
      <c r="V37" s="34">
        <f t="shared" si="9"/>
        <v>4.0636474990249916E-3</v>
      </c>
    </row>
    <row r="38" spans="1:22" ht="15" customHeight="1" x14ac:dyDescent="0.2">
      <c r="A38" s="32">
        <v>45931</v>
      </c>
      <c r="B38" s="33">
        <v>668.45001220703102</v>
      </c>
      <c r="C38" s="33">
        <v>255.44999694824199</v>
      </c>
      <c r="D38" s="33">
        <v>519.71002197265602</v>
      </c>
      <c r="E38" s="33">
        <v>186.05000305175801</v>
      </c>
      <c r="F38" s="33">
        <v>310.70999145507801</v>
      </c>
      <c r="G38" s="33">
        <v>78.669998168945298</v>
      </c>
      <c r="H38" s="33">
        <v>89.290000915527301</v>
      </c>
      <c r="I38" s="33">
        <v>356.02999877929699</v>
      </c>
      <c r="J38" s="33">
        <v>91.559997558593807</v>
      </c>
      <c r="L38" s="34">
        <f t="shared" si="0"/>
        <v>2.5765403298595208E-3</v>
      </c>
      <c r="N38" s="34">
        <f t="shared" si="1"/>
        <v>3.4075168215907947E-3</v>
      </c>
      <c r="O38" s="34">
        <f t="shared" si="2"/>
        <v>3.2203277292728316E-3</v>
      </c>
      <c r="P38" s="34">
        <f t="shared" si="3"/>
        <v>3.3980301653540046E-3</v>
      </c>
      <c r="Q38" s="34">
        <f t="shared" si="4"/>
        <v>3.3977180942423857E-3</v>
      </c>
      <c r="R38" s="34">
        <f t="shared" si="5"/>
        <v>-1.4963704562979019E-2</v>
      </c>
      <c r="S38" s="34">
        <f t="shared" si="6"/>
        <v>4.212478997435487E-2</v>
      </c>
      <c r="T38" s="34">
        <f t="shared" si="7"/>
        <v>-8.9517543466521854E-4</v>
      </c>
      <c r="U38" s="34">
        <f t="shared" si="8"/>
        <v>1.5753722020730443E-3</v>
      </c>
      <c r="V38" s="34">
        <f t="shared" si="9"/>
        <v>1.5313869224737875E-3</v>
      </c>
    </row>
    <row r="39" spans="1:22" ht="15" customHeight="1" x14ac:dyDescent="0.2">
      <c r="A39" s="32">
        <v>45932</v>
      </c>
      <c r="B39" s="33">
        <v>669.219970703125</v>
      </c>
      <c r="C39" s="33">
        <v>257.13000488281301</v>
      </c>
      <c r="D39" s="33">
        <v>515.739990234375</v>
      </c>
      <c r="E39" s="33">
        <v>185.97999572753901</v>
      </c>
      <c r="F39" s="33">
        <v>307.54998779296898</v>
      </c>
      <c r="G39" s="33">
        <v>78.180000305175795</v>
      </c>
      <c r="H39" s="33">
        <v>89.550003051757798</v>
      </c>
      <c r="I39" s="33">
        <v>354.79000854492199</v>
      </c>
      <c r="J39" s="33">
        <v>91.080001831054702</v>
      </c>
      <c r="L39" s="34">
        <f t="shared" si="0"/>
        <v>-1.3095779205213923E-3</v>
      </c>
      <c r="N39" s="34">
        <f t="shared" si="1"/>
        <v>1.1518565068939779E-3</v>
      </c>
      <c r="O39" s="34">
        <f t="shared" si="2"/>
        <v>6.5766606171124842E-3</v>
      </c>
      <c r="P39" s="34">
        <f t="shared" si="3"/>
        <v>-7.6389362729855081E-3</v>
      </c>
      <c r="Q39" s="34">
        <f t="shared" si="4"/>
        <v>-3.7628230621167269E-4</v>
      </c>
      <c r="R39" s="34">
        <f t="shared" si="5"/>
        <v>-1.0170267287867074E-2</v>
      </c>
      <c r="S39" s="34">
        <f t="shared" si="6"/>
        <v>-6.2285226283751438E-3</v>
      </c>
      <c r="T39" s="34">
        <f t="shared" si="7"/>
        <v>2.9118841254853756E-3</v>
      </c>
      <c r="U39" s="34">
        <f t="shared" si="8"/>
        <v>-3.4828251513256969E-3</v>
      </c>
      <c r="V39" s="34">
        <f t="shared" si="9"/>
        <v>-5.2424174348839614E-3</v>
      </c>
    </row>
    <row r="40" spans="1:22" ht="15" customHeight="1" x14ac:dyDescent="0.2">
      <c r="A40" s="32">
        <v>45933</v>
      </c>
      <c r="B40" s="33">
        <v>669.21002197265602</v>
      </c>
      <c r="C40" s="33">
        <v>258.01998901367199</v>
      </c>
      <c r="D40" s="33">
        <v>517.34997558593795</v>
      </c>
      <c r="E40" s="33">
        <v>188.63999938964801</v>
      </c>
      <c r="F40" s="33">
        <v>310.02999877929699</v>
      </c>
      <c r="G40" s="33">
        <v>80.059997558593807</v>
      </c>
      <c r="H40" s="33">
        <v>89.379997253417997</v>
      </c>
      <c r="I40" s="33">
        <v>357.64001464843801</v>
      </c>
      <c r="J40" s="33">
        <v>91.419998168945298</v>
      </c>
      <c r="L40" s="34">
        <f t="shared" si="0"/>
        <v>5.0906297444292519E-3</v>
      </c>
      <c r="N40" s="34">
        <f t="shared" si="1"/>
        <v>-1.4866158967952181E-5</v>
      </c>
      <c r="O40" s="34">
        <f t="shared" si="2"/>
        <v>3.4612223931804742E-3</v>
      </c>
      <c r="P40" s="34">
        <f t="shared" si="3"/>
        <v>3.1216996588363521E-3</v>
      </c>
      <c r="Q40" s="34">
        <f t="shared" si="4"/>
        <v>1.4302633203658655E-2</v>
      </c>
      <c r="R40" s="34">
        <f t="shared" si="5"/>
        <v>8.0637655170301414E-3</v>
      </c>
      <c r="S40" s="34">
        <f t="shared" si="6"/>
        <v>2.4047035636728609E-2</v>
      </c>
      <c r="T40" s="34">
        <f t="shared" si="7"/>
        <v>-1.8984454779028548E-3</v>
      </c>
      <c r="U40" s="34">
        <f t="shared" si="8"/>
        <v>8.0329378924861583E-3</v>
      </c>
      <c r="V40" s="34">
        <f t="shared" si="9"/>
        <v>3.7329417111922059E-3</v>
      </c>
    </row>
    <row r="41" spans="1:22" ht="15" customHeight="1" x14ac:dyDescent="0.2">
      <c r="A41" s="32">
        <v>45936</v>
      </c>
      <c r="B41" s="33">
        <v>671.60998535156295</v>
      </c>
      <c r="C41" s="33">
        <v>256.69000244140602</v>
      </c>
      <c r="D41" s="33">
        <v>528.57000732421898</v>
      </c>
      <c r="E41" s="33">
        <v>188.16000366210901</v>
      </c>
      <c r="F41" s="33">
        <v>309.17999267578102</v>
      </c>
      <c r="G41" s="33">
        <v>82.110000610351605</v>
      </c>
      <c r="H41" s="33">
        <v>88.669998168945298</v>
      </c>
      <c r="I41" s="33">
        <v>364.38000488281301</v>
      </c>
      <c r="J41" s="33">
        <v>90.559997558593807</v>
      </c>
      <c r="L41" s="34">
        <f t="shared" si="0"/>
        <v>3.5546361437088286E-3</v>
      </c>
      <c r="N41" s="34">
        <f t="shared" si="1"/>
        <v>3.5862633554597512E-3</v>
      </c>
      <c r="O41" s="34">
        <f t="shared" si="2"/>
        <v>-5.1545873532902187E-3</v>
      </c>
      <c r="P41" s="34">
        <f t="shared" si="3"/>
        <v>2.168750800765662E-2</v>
      </c>
      <c r="Q41" s="34">
        <f t="shared" si="4"/>
        <v>-2.5445066215651346E-3</v>
      </c>
      <c r="R41" s="34">
        <f t="shared" si="5"/>
        <v>-2.7416898586032357E-3</v>
      </c>
      <c r="S41" s="34">
        <f t="shared" si="6"/>
        <v>2.5605834552486106E-2</v>
      </c>
      <c r="T41" s="34">
        <f t="shared" si="7"/>
        <v>-7.9436015472191812E-3</v>
      </c>
      <c r="U41" s="34">
        <f t="shared" si="8"/>
        <v>1.8845738615127949E-2</v>
      </c>
      <c r="V41" s="34">
        <f t="shared" si="9"/>
        <v>-9.4071387833786213E-3</v>
      </c>
    </row>
    <row r="42" spans="1:22" ht="15" customHeight="1" x14ac:dyDescent="0.2">
      <c r="A42" s="32">
        <v>45937</v>
      </c>
      <c r="B42" s="33">
        <v>669.11999511718795</v>
      </c>
      <c r="C42" s="33">
        <v>256.48001098632801</v>
      </c>
      <c r="D42" s="33">
        <v>523.97998046875</v>
      </c>
      <c r="E42" s="33">
        <v>188.88999938964801</v>
      </c>
      <c r="F42" s="33">
        <v>307.69000244140602</v>
      </c>
      <c r="G42" s="33">
        <v>83.209999084472699</v>
      </c>
      <c r="H42" s="33">
        <v>89.180000305175795</v>
      </c>
      <c r="I42" s="33">
        <v>366.260009765625</v>
      </c>
      <c r="J42" s="33">
        <v>90.230003356933594</v>
      </c>
      <c r="L42" s="34">
        <f t="shared" si="0"/>
        <v>-5.5322199762047886E-4</v>
      </c>
      <c r="N42" s="34">
        <f t="shared" si="1"/>
        <v>-3.7074943623293111E-3</v>
      </c>
      <c r="O42" s="34">
        <f t="shared" si="2"/>
        <v>-8.180741481194076E-4</v>
      </c>
      <c r="P42" s="34">
        <f t="shared" si="3"/>
        <v>-8.6838579409851402E-3</v>
      </c>
      <c r="Q42" s="34">
        <f t="shared" si="4"/>
        <v>3.8796540887080511E-3</v>
      </c>
      <c r="R42" s="34">
        <f t="shared" si="5"/>
        <v>-4.8191677006004241E-3</v>
      </c>
      <c r="S42" s="34">
        <f t="shared" si="6"/>
        <v>1.3396644330099017E-2</v>
      </c>
      <c r="T42" s="34">
        <f t="shared" si="7"/>
        <v>5.7516876819911911E-3</v>
      </c>
      <c r="U42" s="34">
        <f t="shared" si="8"/>
        <v>5.159462258135239E-3</v>
      </c>
      <c r="V42" s="34">
        <f t="shared" si="9"/>
        <v>-3.6439290034951943E-3</v>
      </c>
    </row>
    <row r="43" spans="1:22" ht="15" customHeight="1" x14ac:dyDescent="0.2">
      <c r="A43" s="32">
        <v>45938</v>
      </c>
      <c r="B43" s="33">
        <v>673.10998535156295</v>
      </c>
      <c r="C43" s="33">
        <v>258.05999755859398</v>
      </c>
      <c r="D43" s="33">
        <v>524.84997558593795</v>
      </c>
      <c r="E43" s="33">
        <v>189.69000244140599</v>
      </c>
      <c r="F43" s="33">
        <v>304.02999877929699</v>
      </c>
      <c r="G43" s="33">
        <v>84.040000915527301</v>
      </c>
      <c r="H43" s="33">
        <v>89.25</v>
      </c>
      <c r="I43" s="33">
        <v>372.29998779296898</v>
      </c>
      <c r="J43" s="33">
        <v>89.760002136230497</v>
      </c>
      <c r="L43" s="34">
        <f t="shared" si="0"/>
        <v>3.5539121108815247E-3</v>
      </c>
      <c r="N43" s="34">
        <f t="shared" si="1"/>
        <v>5.9630414028746248E-3</v>
      </c>
      <c r="O43" s="34">
        <f t="shared" si="2"/>
        <v>6.1602717739674961E-3</v>
      </c>
      <c r="P43" s="34">
        <f t="shared" si="3"/>
        <v>1.660359459553451E-3</v>
      </c>
      <c r="Q43" s="34">
        <f t="shared" si="4"/>
        <v>4.2352853742548824E-3</v>
      </c>
      <c r="R43" s="34">
        <f t="shared" si="5"/>
        <v>-1.1895101020729548E-2</v>
      </c>
      <c r="S43" s="34">
        <f t="shared" si="6"/>
        <v>9.9747847636917353E-3</v>
      </c>
      <c r="T43" s="34">
        <f t="shared" si="7"/>
        <v>7.8492593165124802E-4</v>
      </c>
      <c r="U43" s="34">
        <f t="shared" si="8"/>
        <v>1.6490956878445484E-2</v>
      </c>
      <c r="V43" s="34">
        <f t="shared" si="9"/>
        <v>-5.2089238968977547E-3</v>
      </c>
    </row>
    <row r="44" spans="1:22" ht="15" customHeight="1" x14ac:dyDescent="0.2">
      <c r="A44" s="32">
        <v>45939</v>
      </c>
      <c r="B44" s="33">
        <v>671.15997314453102</v>
      </c>
      <c r="C44" s="33">
        <v>254.03999328613301</v>
      </c>
      <c r="D44" s="33">
        <v>522.40002441406295</v>
      </c>
      <c r="E44" s="33">
        <v>191.080001831055</v>
      </c>
      <c r="F44" s="33">
        <v>305.52999877929699</v>
      </c>
      <c r="G44" s="33">
        <v>83.709999084472699</v>
      </c>
      <c r="H44" s="33">
        <v>89.180000305175795</v>
      </c>
      <c r="I44" s="33">
        <v>365.42999267578102</v>
      </c>
      <c r="J44" s="33">
        <v>89.269996643066406</v>
      </c>
      <c r="L44" s="34">
        <f t="shared" si="0"/>
        <v>-5.029802212704269E-3</v>
      </c>
      <c r="N44" s="34">
        <f t="shared" si="1"/>
        <v>-2.8970186885779459E-3</v>
      </c>
      <c r="O44" s="34">
        <f t="shared" si="2"/>
        <v>-1.5577789314472068E-2</v>
      </c>
      <c r="P44" s="34">
        <f t="shared" si="3"/>
        <v>-4.6679075656618219E-3</v>
      </c>
      <c r="Q44" s="34">
        <f t="shared" si="4"/>
        <v>7.3277419566608604E-3</v>
      </c>
      <c r="R44" s="34">
        <f t="shared" si="5"/>
        <v>4.9337236655020433E-3</v>
      </c>
      <c r="S44" s="34">
        <f t="shared" si="6"/>
        <v>-3.9267233157970205E-3</v>
      </c>
      <c r="T44" s="34">
        <f t="shared" si="7"/>
        <v>-7.8431030615355724E-4</v>
      </c>
      <c r="U44" s="34">
        <f t="shared" si="8"/>
        <v>-1.8452848086066176E-2</v>
      </c>
      <c r="V44" s="34">
        <f t="shared" si="9"/>
        <v>-5.4590628509612049E-3</v>
      </c>
    </row>
    <row r="45" spans="1:22" ht="15" customHeight="1" x14ac:dyDescent="0.2">
      <c r="A45" s="32">
        <v>45940</v>
      </c>
      <c r="B45" s="33">
        <v>653.02001953125</v>
      </c>
      <c r="C45" s="33">
        <v>245.27000427246099</v>
      </c>
      <c r="D45" s="33">
        <v>510.95999145507801</v>
      </c>
      <c r="E45" s="33">
        <v>190.72000122070301</v>
      </c>
      <c r="F45" s="33">
        <v>300.89001464843801</v>
      </c>
      <c r="G45" s="33">
        <v>83.349998474121094</v>
      </c>
      <c r="H45" s="33">
        <v>90.620002746582003</v>
      </c>
      <c r="I45" s="33">
        <v>369.11999511718801</v>
      </c>
      <c r="J45" s="33">
        <v>88.129997253417997</v>
      </c>
      <c r="L45" s="34">
        <f t="shared" si="0"/>
        <v>-1.3652193175138128E-2</v>
      </c>
      <c r="N45" s="34">
        <f t="shared" si="1"/>
        <v>-2.7027764376786889E-2</v>
      </c>
      <c r="O45" s="34">
        <f t="shared" si="2"/>
        <v>-3.4522080166307201E-2</v>
      </c>
      <c r="P45" s="34">
        <f t="shared" si="3"/>
        <v>-2.1898990092537596E-2</v>
      </c>
      <c r="Q45" s="34">
        <f t="shared" si="4"/>
        <v>-1.8840308085734669E-3</v>
      </c>
      <c r="R45" s="34">
        <f t="shared" si="5"/>
        <v>-1.5186672828846226E-2</v>
      </c>
      <c r="S45" s="34">
        <f t="shared" si="6"/>
        <v>-4.3005688004884579E-3</v>
      </c>
      <c r="T45" s="34">
        <f t="shared" si="7"/>
        <v>1.6147145508841554E-2</v>
      </c>
      <c r="U45" s="34">
        <f t="shared" si="8"/>
        <v>1.0097700011944211E-2</v>
      </c>
      <c r="V45" s="34">
        <f t="shared" si="9"/>
        <v>-1.2770241206645716E-2</v>
      </c>
    </row>
    <row r="46" spans="1:22" ht="15" customHeight="1" x14ac:dyDescent="0.2">
      <c r="A46" s="32">
        <v>45943</v>
      </c>
      <c r="B46" s="33">
        <v>663.03997802734398</v>
      </c>
      <c r="C46" s="33">
        <v>247.66000366210901</v>
      </c>
      <c r="D46" s="33">
        <v>514.04998779296898</v>
      </c>
      <c r="E46" s="33">
        <v>190.89999389648401</v>
      </c>
      <c r="F46" s="33">
        <v>307.97000122070301</v>
      </c>
      <c r="G46" s="33">
        <v>84.300003051757798</v>
      </c>
      <c r="H46" s="33">
        <v>90.569999694824205</v>
      </c>
      <c r="I46" s="33">
        <v>378.08999633789102</v>
      </c>
      <c r="J46" s="33">
        <v>88.690002441406307</v>
      </c>
      <c r="L46" s="34">
        <f t="shared" si="0"/>
        <v>1.092770841210472E-2</v>
      </c>
      <c r="N46" s="34">
        <f t="shared" si="1"/>
        <v>1.5344029580113716E-2</v>
      </c>
      <c r="O46" s="34">
        <f t="shared" si="2"/>
        <v>9.744360696439136E-3</v>
      </c>
      <c r="P46" s="34">
        <f t="shared" si="3"/>
        <v>6.0474330467468196E-3</v>
      </c>
      <c r="Q46" s="34">
        <f t="shared" si="4"/>
        <v>9.4375353727427225E-4</v>
      </c>
      <c r="R46" s="34">
        <f t="shared" si="5"/>
        <v>2.3530147986257743E-2</v>
      </c>
      <c r="S46" s="34">
        <f t="shared" si="6"/>
        <v>1.1397775585222814E-2</v>
      </c>
      <c r="T46" s="34">
        <f t="shared" si="7"/>
        <v>-5.5178823926582687E-4</v>
      </c>
      <c r="U46" s="34">
        <f t="shared" si="8"/>
        <v>2.4301043940616607E-2</v>
      </c>
      <c r="V46" s="34">
        <f t="shared" si="9"/>
        <v>6.3543084697712526E-3</v>
      </c>
    </row>
    <row r="47" spans="1:22" ht="15" customHeight="1" x14ac:dyDescent="0.2">
      <c r="A47" s="32">
        <v>45944</v>
      </c>
      <c r="B47" s="33">
        <v>662.22998046875</v>
      </c>
      <c r="C47" s="33">
        <v>247.77000427246099</v>
      </c>
      <c r="D47" s="33">
        <v>513.57000732421898</v>
      </c>
      <c r="E47" s="33">
        <v>190.85000610351599</v>
      </c>
      <c r="F47" s="33">
        <v>302.07998657226602</v>
      </c>
      <c r="G47" s="33">
        <v>84.639999389648395</v>
      </c>
      <c r="H47" s="33">
        <v>90.860000610351605</v>
      </c>
      <c r="I47" s="33">
        <v>380.79000854492199</v>
      </c>
      <c r="J47" s="33">
        <v>89.599998474121094</v>
      </c>
      <c r="L47" s="34">
        <f t="shared" si="0"/>
        <v>-5.675539978460464E-5</v>
      </c>
      <c r="N47" s="34">
        <f t="shared" si="1"/>
        <v>-1.2216421112402065E-3</v>
      </c>
      <c r="O47" s="34">
        <f t="shared" si="2"/>
        <v>4.4415977035217047E-4</v>
      </c>
      <c r="P47" s="34">
        <f t="shared" si="3"/>
        <v>-9.3372333459385004E-4</v>
      </c>
      <c r="Q47" s="34">
        <f t="shared" si="4"/>
        <v>-2.6185329788497302E-4</v>
      </c>
      <c r="R47" s="34">
        <f t="shared" si="5"/>
        <v>-1.9125286960063326E-2</v>
      </c>
      <c r="S47" s="34">
        <f t="shared" si="6"/>
        <v>4.0331711219732114E-3</v>
      </c>
      <c r="T47" s="34">
        <f t="shared" si="7"/>
        <v>3.2019533676113099E-3</v>
      </c>
      <c r="U47" s="34">
        <f t="shared" si="8"/>
        <v>7.1411892226262985E-3</v>
      </c>
      <c r="V47" s="34">
        <f t="shared" si="9"/>
        <v>1.0260412759780735E-2</v>
      </c>
    </row>
    <row r="48" spans="1:22" ht="15" customHeight="1" x14ac:dyDescent="0.2">
      <c r="A48" s="32">
        <v>45945</v>
      </c>
      <c r="B48" s="33">
        <v>665.16998291015602</v>
      </c>
      <c r="C48" s="33">
        <v>249.33999633789099</v>
      </c>
      <c r="D48" s="33">
        <v>513.42999267578102</v>
      </c>
      <c r="E48" s="33">
        <v>191.169998168945</v>
      </c>
      <c r="F48" s="33">
        <v>305.69000244140602</v>
      </c>
      <c r="G48" s="33">
        <v>85.790000915527301</v>
      </c>
      <c r="H48" s="33">
        <v>90.660003662109403</v>
      </c>
      <c r="I48" s="33">
        <v>387.39001464843801</v>
      </c>
      <c r="J48" s="33">
        <v>90.900001525878906</v>
      </c>
      <c r="L48" s="34">
        <f t="shared" si="0"/>
        <v>6.292184254677452E-3</v>
      </c>
      <c r="N48" s="34">
        <f t="shared" si="1"/>
        <v>4.4395489907071983E-3</v>
      </c>
      <c r="O48" s="34">
        <f t="shared" si="2"/>
        <v>6.3364896410282867E-3</v>
      </c>
      <c r="P48" s="34">
        <f t="shared" si="3"/>
        <v>-2.7263011165201689E-4</v>
      </c>
      <c r="Q48" s="34">
        <f t="shared" si="4"/>
        <v>1.6766678291613157E-3</v>
      </c>
      <c r="R48" s="34">
        <f t="shared" si="5"/>
        <v>1.1950529759032547E-2</v>
      </c>
      <c r="S48" s="34">
        <f t="shared" si="6"/>
        <v>1.3586974647586736E-2</v>
      </c>
      <c r="T48" s="34">
        <f t="shared" si="7"/>
        <v>-2.2011550396073831E-3</v>
      </c>
      <c r="U48" s="34">
        <f t="shared" si="8"/>
        <v>1.7332403569978228E-2</v>
      </c>
      <c r="V48" s="34">
        <f t="shared" si="9"/>
        <v>1.4508962878311715E-2</v>
      </c>
    </row>
    <row r="49" spans="1:22" ht="15" customHeight="1" x14ac:dyDescent="0.2">
      <c r="A49" s="32">
        <v>45946</v>
      </c>
      <c r="B49" s="33">
        <v>660.64001464843795</v>
      </c>
      <c r="C49" s="33">
        <v>247.44999694824199</v>
      </c>
      <c r="D49" s="33">
        <v>511.60998535156301</v>
      </c>
      <c r="E49" s="33">
        <v>192.11999511718801</v>
      </c>
      <c r="F49" s="33">
        <v>298.54000854492199</v>
      </c>
      <c r="G49" s="33">
        <v>85.050003051757798</v>
      </c>
      <c r="H49" s="33">
        <v>91.339996337890597</v>
      </c>
      <c r="I49" s="33">
        <v>396.45001220703102</v>
      </c>
      <c r="J49" s="33">
        <v>90.580001831054702</v>
      </c>
      <c r="L49" s="34">
        <f t="shared" si="0"/>
        <v>-2.059985294073799E-3</v>
      </c>
      <c r="N49" s="34">
        <f t="shared" si="1"/>
        <v>-6.8102415594570864E-3</v>
      </c>
      <c r="O49" s="34">
        <f t="shared" si="2"/>
        <v>-7.5800088931090581E-3</v>
      </c>
      <c r="P49" s="34">
        <f t="shared" si="3"/>
        <v>-3.5448013364643982E-3</v>
      </c>
      <c r="Q49" s="34">
        <f t="shared" si="4"/>
        <v>4.9693830482933077E-3</v>
      </c>
      <c r="R49" s="34">
        <f t="shared" si="5"/>
        <v>-2.3389688375086926E-2</v>
      </c>
      <c r="S49" s="34">
        <f t="shared" si="6"/>
        <v>-8.6256889599306552E-3</v>
      </c>
      <c r="T49" s="34">
        <f t="shared" si="7"/>
        <v>7.5004704204020278E-3</v>
      </c>
      <c r="U49" s="34">
        <f t="shared" si="8"/>
        <v>2.3387276945728841E-2</v>
      </c>
      <c r="V49" s="34">
        <f t="shared" si="9"/>
        <v>-3.5203486188402078E-3</v>
      </c>
    </row>
    <row r="50" spans="1:22" ht="15" customHeight="1" x14ac:dyDescent="0.2">
      <c r="A50" s="32">
        <v>45947</v>
      </c>
      <c r="B50" s="33">
        <v>664.39001464843795</v>
      </c>
      <c r="C50" s="33">
        <v>252.28999328613301</v>
      </c>
      <c r="D50" s="33">
        <v>513.58001708984398</v>
      </c>
      <c r="E50" s="33">
        <v>193.22000122070301</v>
      </c>
      <c r="F50" s="33">
        <v>297.55999755859398</v>
      </c>
      <c r="G50" s="33">
        <v>84.529998779296903</v>
      </c>
      <c r="H50" s="33">
        <v>91.199996948242202</v>
      </c>
      <c r="I50" s="33">
        <v>388.989990234375</v>
      </c>
      <c r="J50" s="33">
        <v>91.169998168945298</v>
      </c>
      <c r="L50" s="34">
        <f t="shared" si="0"/>
        <v>3.2457541226686244E-3</v>
      </c>
      <c r="N50" s="34">
        <f t="shared" si="1"/>
        <v>5.6763137515907225E-3</v>
      </c>
      <c r="O50" s="34">
        <f t="shared" si="2"/>
        <v>1.9559492412939417E-2</v>
      </c>
      <c r="P50" s="34">
        <f t="shared" si="3"/>
        <v>3.8506514624165877E-3</v>
      </c>
      <c r="Q50" s="34">
        <f t="shared" si="4"/>
        <v>5.7256200888617936E-3</v>
      </c>
      <c r="R50" s="34">
        <f t="shared" si="5"/>
        <v>-3.2826788982306399E-3</v>
      </c>
      <c r="S50" s="34">
        <f t="shared" si="6"/>
        <v>-6.1141005738053478E-3</v>
      </c>
      <c r="T50" s="34">
        <f t="shared" si="7"/>
        <v>-1.5327282161310407E-3</v>
      </c>
      <c r="U50" s="34">
        <f t="shared" si="8"/>
        <v>-1.8817055726965903E-2</v>
      </c>
      <c r="V50" s="34">
        <f t="shared" si="9"/>
        <v>6.5135385953185576E-3</v>
      </c>
    </row>
    <row r="51" spans="1:22" ht="15" customHeight="1" x14ac:dyDescent="0.2">
      <c r="A51" s="32">
        <v>45950</v>
      </c>
      <c r="B51" s="33">
        <v>671.29998779296898</v>
      </c>
      <c r="C51" s="33">
        <v>262.239990234375</v>
      </c>
      <c r="D51" s="33">
        <v>516.78997802734398</v>
      </c>
      <c r="E51" s="33">
        <v>193.72000122070301</v>
      </c>
      <c r="F51" s="33">
        <v>302.35998535156301</v>
      </c>
      <c r="G51" s="33">
        <v>84.769996643066406</v>
      </c>
      <c r="H51" s="33">
        <v>91.550003051757798</v>
      </c>
      <c r="I51" s="33">
        <v>403.14999389648398</v>
      </c>
      <c r="J51" s="33">
        <v>92.089996337890597</v>
      </c>
      <c r="L51" s="34">
        <f t="shared" si="0"/>
        <v>1.5990782526291516E-2</v>
      </c>
      <c r="N51" s="34">
        <f t="shared" si="1"/>
        <v>1.0400477117627149E-2</v>
      </c>
      <c r="O51" s="34">
        <f t="shared" si="2"/>
        <v>3.9438730084539131E-2</v>
      </c>
      <c r="P51" s="34">
        <f t="shared" si="3"/>
        <v>6.2501671223287314E-3</v>
      </c>
      <c r="Q51" s="34">
        <f t="shared" si="4"/>
        <v>2.5877238217635323E-3</v>
      </c>
      <c r="R51" s="34">
        <f t="shared" si="5"/>
        <v>1.6131159538754325E-2</v>
      </c>
      <c r="S51" s="34">
        <f t="shared" si="6"/>
        <v>2.8392034453488257E-3</v>
      </c>
      <c r="T51" s="34">
        <f t="shared" si="7"/>
        <v>3.8377863511798171E-3</v>
      </c>
      <c r="U51" s="34">
        <f t="shared" si="8"/>
        <v>3.6401974389051128E-2</v>
      </c>
      <c r="V51" s="34">
        <f t="shared" si="9"/>
        <v>1.0091018837583787E-2</v>
      </c>
    </row>
    <row r="52" spans="1:22" ht="15" customHeight="1" x14ac:dyDescent="0.2">
      <c r="A52" s="32">
        <v>45951</v>
      </c>
      <c r="B52" s="33">
        <v>671.28997802734398</v>
      </c>
      <c r="C52" s="33">
        <v>262.76998901367199</v>
      </c>
      <c r="D52" s="33">
        <v>517.65997314453102</v>
      </c>
      <c r="E52" s="33">
        <v>191.88000488281301</v>
      </c>
      <c r="F52" s="33">
        <v>297.08999633789102</v>
      </c>
      <c r="G52" s="33">
        <v>83.989997863769503</v>
      </c>
      <c r="H52" s="33">
        <v>92</v>
      </c>
      <c r="I52" s="33">
        <v>377.239990234375</v>
      </c>
      <c r="J52" s="33">
        <v>91.830001831054702</v>
      </c>
      <c r="L52" s="34">
        <f t="shared" si="0"/>
        <v>-8.6657974342602938E-3</v>
      </c>
      <c r="N52" s="34">
        <f t="shared" si="1"/>
        <v>-1.4911017141350236E-5</v>
      </c>
      <c r="O52" s="34">
        <f t="shared" si="2"/>
        <v>2.0210448407327331E-3</v>
      </c>
      <c r="P52" s="34">
        <f t="shared" si="3"/>
        <v>1.6834597306005783E-3</v>
      </c>
      <c r="Q52" s="34">
        <f t="shared" si="4"/>
        <v>-9.4982259255393942E-3</v>
      </c>
      <c r="R52" s="34">
        <f t="shared" si="5"/>
        <v>-1.7429518682984479E-2</v>
      </c>
      <c r="S52" s="34">
        <f t="shared" si="6"/>
        <v>-9.2013543728352021E-3</v>
      </c>
      <c r="T52" s="34">
        <f t="shared" si="7"/>
        <v>4.9153133068471355E-3</v>
      </c>
      <c r="U52" s="34">
        <f t="shared" si="8"/>
        <v>-6.4268892606660577E-2</v>
      </c>
      <c r="V52" s="34">
        <f t="shared" si="9"/>
        <v>-2.8232654704637428E-3</v>
      </c>
    </row>
    <row r="53" spans="1:22" ht="15" customHeight="1" x14ac:dyDescent="0.2">
      <c r="A53" s="32">
        <v>45952</v>
      </c>
      <c r="B53" s="33">
        <v>667.79998779296898</v>
      </c>
      <c r="C53" s="33">
        <v>258.45001220703102</v>
      </c>
      <c r="D53" s="33">
        <v>520.53997802734398</v>
      </c>
      <c r="E53" s="33">
        <v>192.94000244140599</v>
      </c>
      <c r="F53" s="33">
        <v>294.10998535156301</v>
      </c>
      <c r="G53" s="33">
        <v>82.839996337890597</v>
      </c>
      <c r="H53" s="33">
        <v>92.059997558593807</v>
      </c>
      <c r="I53" s="33">
        <v>377.27999877929699</v>
      </c>
      <c r="J53" s="33">
        <v>92.220001220703097</v>
      </c>
      <c r="L53" s="34">
        <f t="shared" si="0"/>
        <v>-3.530962095269442E-3</v>
      </c>
      <c r="N53" s="34">
        <f t="shared" si="1"/>
        <v>-5.1989309368668524E-3</v>
      </c>
      <c r="O53" s="34">
        <f t="shared" si="2"/>
        <v>-1.6440145325789857E-2</v>
      </c>
      <c r="P53" s="34">
        <f t="shared" si="3"/>
        <v>5.5635069973023477E-3</v>
      </c>
      <c r="Q53" s="34">
        <f t="shared" si="4"/>
        <v>5.5242731478997165E-3</v>
      </c>
      <c r="R53" s="34">
        <f t="shared" si="5"/>
        <v>-1.0030667552127004E-2</v>
      </c>
      <c r="S53" s="34">
        <f t="shared" si="6"/>
        <v>-1.369212471875747E-2</v>
      </c>
      <c r="T53" s="34">
        <f t="shared" si="7"/>
        <v>6.5214737601970718E-4</v>
      </c>
      <c r="U53" s="34">
        <f t="shared" si="8"/>
        <v>1.0605594835566556E-4</v>
      </c>
      <c r="V53" s="34">
        <f t="shared" si="9"/>
        <v>4.246971380506892E-3</v>
      </c>
    </row>
    <row r="54" spans="1:22" ht="15" customHeight="1" x14ac:dyDescent="0.2">
      <c r="A54" s="32">
        <v>45953</v>
      </c>
      <c r="B54" s="33">
        <v>671.760009765625</v>
      </c>
      <c r="C54" s="33">
        <v>259.57998657226602</v>
      </c>
      <c r="D54" s="33">
        <v>520.55999755859398</v>
      </c>
      <c r="E54" s="33">
        <v>192.47000122070301</v>
      </c>
      <c r="F54" s="33">
        <v>294.54000854492199</v>
      </c>
      <c r="G54" s="33">
        <v>83.25</v>
      </c>
      <c r="H54" s="33">
        <v>91.430000305175795</v>
      </c>
      <c r="I54" s="33">
        <v>378.79000854492199</v>
      </c>
      <c r="J54" s="33">
        <v>92.160003662109403</v>
      </c>
      <c r="L54" s="34">
        <f t="shared" si="0"/>
        <v>1.610555554125815E-3</v>
      </c>
      <c r="N54" s="34">
        <f t="shared" si="1"/>
        <v>5.9299521489115659E-3</v>
      </c>
      <c r="O54" s="34">
        <f t="shared" si="2"/>
        <v>4.3721196048147615E-3</v>
      </c>
      <c r="P54" s="34">
        <f t="shared" si="3"/>
        <v>3.8459161822324006E-5</v>
      </c>
      <c r="Q54" s="34">
        <f t="shared" si="4"/>
        <v>-2.4359967593848841E-3</v>
      </c>
      <c r="R54" s="34">
        <f t="shared" si="5"/>
        <v>1.462116945281311E-3</v>
      </c>
      <c r="S54" s="34">
        <f t="shared" si="6"/>
        <v>4.9493442809565025E-3</v>
      </c>
      <c r="T54" s="34">
        <f t="shared" si="7"/>
        <v>-6.8433333709033706E-3</v>
      </c>
      <c r="U54" s="34">
        <f t="shared" si="8"/>
        <v>4.0023583823969311E-3</v>
      </c>
      <c r="V54" s="34">
        <f t="shared" si="9"/>
        <v>-6.5059160485270162E-4</v>
      </c>
    </row>
    <row r="55" spans="1:22" ht="15" customHeight="1" x14ac:dyDescent="0.2">
      <c r="A55" s="32">
        <v>45954</v>
      </c>
      <c r="B55" s="33">
        <v>677.25</v>
      </c>
      <c r="C55" s="33">
        <v>262.82000732421898</v>
      </c>
      <c r="D55" s="33">
        <v>523.60998535156295</v>
      </c>
      <c r="E55" s="33">
        <v>190.39999389648401</v>
      </c>
      <c r="F55" s="33">
        <v>300.44000244140602</v>
      </c>
      <c r="G55" s="33">
        <v>84.410003662109403</v>
      </c>
      <c r="H55" s="33">
        <v>91.470001220703097</v>
      </c>
      <c r="I55" s="33">
        <v>377.51998901367199</v>
      </c>
      <c r="J55" s="33">
        <v>92.430000305175795</v>
      </c>
      <c r="L55" s="34">
        <f t="shared" si="0"/>
        <v>5.5633361092267209E-3</v>
      </c>
      <c r="N55" s="34">
        <f t="shared" si="1"/>
        <v>8.1725469729738709E-3</v>
      </c>
      <c r="O55" s="34">
        <f t="shared" si="2"/>
        <v>1.2481781799657199E-2</v>
      </c>
      <c r="P55" s="34">
        <f t="shared" si="3"/>
        <v>5.8590514201499744E-3</v>
      </c>
      <c r="Q55" s="34">
        <f t="shared" si="4"/>
        <v>-1.075496083072891E-2</v>
      </c>
      <c r="R55" s="34">
        <f t="shared" si="5"/>
        <v>2.0031213843005657E-2</v>
      </c>
      <c r="S55" s="34">
        <f t="shared" si="6"/>
        <v>1.393397792323614E-2</v>
      </c>
      <c r="T55" s="34">
        <f t="shared" si="7"/>
        <v>4.3750317613233669E-4</v>
      </c>
      <c r="U55" s="34">
        <f t="shared" si="8"/>
        <v>-3.3528327110016187E-3</v>
      </c>
      <c r="V55" s="34">
        <f t="shared" si="9"/>
        <v>2.929650958525265E-3</v>
      </c>
    </row>
    <row r="56" spans="1:22" ht="15" customHeight="1" x14ac:dyDescent="0.2">
      <c r="A56" s="32">
        <v>45957</v>
      </c>
      <c r="B56" s="33">
        <v>685.239990234375</v>
      </c>
      <c r="C56" s="33">
        <v>268.80999755859398</v>
      </c>
      <c r="D56" s="33">
        <v>531.52001953125</v>
      </c>
      <c r="E56" s="33">
        <v>190.30000305175801</v>
      </c>
      <c r="F56" s="33">
        <v>304.14999389648398</v>
      </c>
      <c r="G56" s="33">
        <v>86.029998779296903</v>
      </c>
      <c r="H56" s="33">
        <v>91.779998779296903</v>
      </c>
      <c r="I56" s="33">
        <v>367.010009765625</v>
      </c>
      <c r="J56" s="33">
        <v>92.690002441406307</v>
      </c>
      <c r="L56" s="34">
        <f t="shared" si="0"/>
        <v>7.5247860615544017E-3</v>
      </c>
      <c r="N56" s="34">
        <f t="shared" si="1"/>
        <v>1.1797696913067535E-2</v>
      </c>
      <c r="O56" s="34">
        <f t="shared" si="2"/>
        <v>2.2791226190727709E-2</v>
      </c>
      <c r="P56" s="34">
        <f t="shared" si="3"/>
        <v>1.5106729055932799E-2</v>
      </c>
      <c r="Q56" s="34">
        <f t="shared" si="4"/>
        <v>-5.2516201644603466E-4</v>
      </c>
      <c r="R56" s="34">
        <f t="shared" si="5"/>
        <v>1.2348526910298752E-2</v>
      </c>
      <c r="S56" s="34">
        <f t="shared" si="6"/>
        <v>1.9191980178940415E-2</v>
      </c>
      <c r="T56" s="34">
        <f t="shared" si="7"/>
        <v>3.3890625828880694E-3</v>
      </c>
      <c r="U56" s="34">
        <f t="shared" si="8"/>
        <v>-2.7839530498784737E-2</v>
      </c>
      <c r="V56" s="34">
        <f t="shared" si="9"/>
        <v>2.8129626243866834E-3</v>
      </c>
    </row>
    <row r="57" spans="1:22" ht="15" customHeight="1" x14ac:dyDescent="0.2">
      <c r="A57" s="32">
        <v>45958</v>
      </c>
      <c r="B57" s="33">
        <v>687.05999755859398</v>
      </c>
      <c r="C57" s="33">
        <v>269</v>
      </c>
      <c r="D57" s="33">
        <v>542.07000732421898</v>
      </c>
      <c r="E57" s="33">
        <v>186.92999267578099</v>
      </c>
      <c r="F57" s="33">
        <v>305.35998535156301</v>
      </c>
      <c r="G57" s="33">
        <v>83.569999694824205</v>
      </c>
      <c r="H57" s="33">
        <v>92.019996643066406</v>
      </c>
      <c r="I57" s="33">
        <v>364.38000488281301</v>
      </c>
      <c r="J57" s="33">
        <v>90.870002746582003</v>
      </c>
      <c r="L57" s="34">
        <f t="shared" si="0"/>
        <v>-1.4567498864958967E-3</v>
      </c>
      <c r="N57" s="34">
        <f t="shared" si="1"/>
        <v>2.6560144623148929E-3</v>
      </c>
      <c r="O57" s="34">
        <f t="shared" si="2"/>
        <v>7.0682803144106465E-4</v>
      </c>
      <c r="P57" s="34">
        <f t="shared" si="3"/>
        <v>1.9848712005754887E-2</v>
      </c>
      <c r="Q57" s="34">
        <f t="shared" si="4"/>
        <v>-1.7708934954984934E-2</v>
      </c>
      <c r="R57" s="34">
        <f t="shared" si="5"/>
        <v>3.9782721662353637E-3</v>
      </c>
      <c r="S57" s="34">
        <f t="shared" si="6"/>
        <v>-2.8594666039501337E-2</v>
      </c>
      <c r="T57" s="34">
        <f t="shared" si="7"/>
        <v>2.614925549809799E-3</v>
      </c>
      <c r="U57" s="34">
        <f t="shared" si="8"/>
        <v>-7.1660303883578358E-3</v>
      </c>
      <c r="V57" s="34">
        <f t="shared" si="9"/>
        <v>-1.9635339808894869E-2</v>
      </c>
    </row>
    <row r="58" spans="1:22" ht="15" customHeight="1" x14ac:dyDescent="0.2">
      <c r="A58" s="32">
        <v>45959</v>
      </c>
      <c r="B58" s="33">
        <v>687.39001464843795</v>
      </c>
      <c r="C58" s="33">
        <v>269.70001220703102</v>
      </c>
      <c r="D58" s="33">
        <v>541.54998779296898</v>
      </c>
      <c r="E58" s="33">
        <v>186.60000610351599</v>
      </c>
      <c r="F58" s="33">
        <v>305.510009765625</v>
      </c>
      <c r="G58" s="33">
        <v>81.760002136230497</v>
      </c>
      <c r="H58" s="33">
        <v>91.089996337890597</v>
      </c>
      <c r="I58" s="33">
        <v>363</v>
      </c>
      <c r="J58" s="33">
        <v>88.529998779296903</v>
      </c>
      <c r="L58" s="34">
        <f t="shared" si="0"/>
        <v>-3.9617566351381793E-3</v>
      </c>
      <c r="N58" s="34">
        <f t="shared" si="1"/>
        <v>4.8033227231480957E-4</v>
      </c>
      <c r="O58" s="34">
        <f t="shared" si="2"/>
        <v>2.6022758625687814E-3</v>
      </c>
      <c r="P58" s="34">
        <f t="shared" si="3"/>
        <v>-9.5932171900992014E-4</v>
      </c>
      <c r="Q58" s="34">
        <f t="shared" si="4"/>
        <v>-1.7652949510212901E-3</v>
      </c>
      <c r="R58" s="34">
        <f t="shared" si="5"/>
        <v>4.9130344923642433E-4</v>
      </c>
      <c r="S58" s="34">
        <f t="shared" si="6"/>
        <v>-2.16584607538991E-2</v>
      </c>
      <c r="T58" s="34">
        <f t="shared" si="7"/>
        <v>-1.0106502272361095E-2</v>
      </c>
      <c r="U58" s="34">
        <f t="shared" si="8"/>
        <v>-3.7872684129768297E-3</v>
      </c>
      <c r="V58" s="34">
        <f t="shared" si="9"/>
        <v>-2.5751115841945116E-2</v>
      </c>
    </row>
    <row r="59" spans="1:22" ht="15" customHeight="1" x14ac:dyDescent="0.2">
      <c r="A59" s="32">
        <v>45960</v>
      </c>
      <c r="B59" s="33">
        <v>679.83001708984398</v>
      </c>
      <c r="C59" s="33">
        <v>271.39999389648398</v>
      </c>
      <c r="D59" s="33">
        <v>525.760009765625</v>
      </c>
      <c r="E59" s="33">
        <v>189.05000305175801</v>
      </c>
      <c r="F59" s="33">
        <v>309.44000244140602</v>
      </c>
      <c r="G59" s="33">
        <v>81.639999389648395</v>
      </c>
      <c r="H59" s="33">
        <v>90.559997558593807</v>
      </c>
      <c r="I59" s="33">
        <v>370.13000488281301</v>
      </c>
      <c r="J59" s="33">
        <v>88.949996948242202</v>
      </c>
      <c r="L59" s="34">
        <f t="shared" si="0"/>
        <v>-5.4612706353813047E-4</v>
      </c>
      <c r="N59" s="34">
        <f t="shared" si="1"/>
        <v>-1.0998119550020613E-2</v>
      </c>
      <c r="O59" s="34">
        <f t="shared" si="2"/>
        <v>6.3032317853510822E-3</v>
      </c>
      <c r="P59" s="34">
        <f t="shared" si="3"/>
        <v>-2.9157009294182412E-2</v>
      </c>
      <c r="Q59" s="34">
        <f t="shared" si="4"/>
        <v>1.3129672390701286E-2</v>
      </c>
      <c r="R59" s="34">
        <f t="shared" si="5"/>
        <v>1.2863711662985944E-2</v>
      </c>
      <c r="S59" s="34">
        <f t="shared" si="6"/>
        <v>-1.4677439266960191E-3</v>
      </c>
      <c r="T59" s="34">
        <f t="shared" si="7"/>
        <v>-5.8184081743818394E-3</v>
      </c>
      <c r="U59" s="34">
        <f t="shared" si="8"/>
        <v>1.9641886729512503E-2</v>
      </c>
      <c r="V59" s="34">
        <f t="shared" si="9"/>
        <v>4.7441339064326904E-3</v>
      </c>
    </row>
    <row r="60" spans="1:22" ht="15" customHeight="1" x14ac:dyDescent="0.2">
      <c r="A60" s="32">
        <v>45961</v>
      </c>
      <c r="B60" s="33">
        <v>682.05999755859398</v>
      </c>
      <c r="C60" s="33">
        <v>270.36999511718801</v>
      </c>
      <c r="D60" s="33">
        <v>517.80999755859398</v>
      </c>
      <c r="E60" s="33">
        <v>188.86999511718801</v>
      </c>
      <c r="F60" s="33">
        <v>311.11999511718801</v>
      </c>
      <c r="G60" s="33">
        <v>81.400001525878906</v>
      </c>
      <c r="H60" s="33">
        <v>90.290000915527301</v>
      </c>
      <c r="I60" s="33">
        <v>368.11999511718801</v>
      </c>
      <c r="J60" s="33">
        <v>89.180000305175795</v>
      </c>
      <c r="L60" s="34">
        <f t="shared" si="0"/>
        <v>-2.3011633780219971E-3</v>
      </c>
      <c r="N60" s="34">
        <f t="shared" si="1"/>
        <v>3.2802030105936186E-3</v>
      </c>
      <c r="O60" s="34">
        <f t="shared" si="2"/>
        <v>-3.7951319176846576E-3</v>
      </c>
      <c r="P60" s="34">
        <f t="shared" si="3"/>
        <v>-1.5120990678950674E-2</v>
      </c>
      <c r="Q60" s="34">
        <f t="shared" si="4"/>
        <v>-9.5217102176248236E-4</v>
      </c>
      <c r="R60" s="34">
        <f t="shared" si="5"/>
        <v>5.4291386457059332E-3</v>
      </c>
      <c r="S60" s="34">
        <f t="shared" si="6"/>
        <v>-2.9397092793207458E-3</v>
      </c>
      <c r="T60" s="34">
        <f t="shared" si="7"/>
        <v>-2.981411775014875E-3</v>
      </c>
      <c r="U60" s="34">
        <f t="shared" si="8"/>
        <v>-5.4305507230125727E-3</v>
      </c>
      <c r="V60" s="34">
        <f t="shared" si="9"/>
        <v>2.5857601441787725E-3</v>
      </c>
    </row>
    <row r="61" spans="1:22" ht="15" customHeight="1" x14ac:dyDescent="0.2">
      <c r="A61" s="32">
        <v>45964</v>
      </c>
      <c r="B61" s="33">
        <v>683.34002685546898</v>
      </c>
      <c r="C61" s="33">
        <v>269.04998779296898</v>
      </c>
      <c r="D61" s="33">
        <v>517.030029296875</v>
      </c>
      <c r="E61" s="33">
        <v>186.25999450683599</v>
      </c>
      <c r="F61" s="33">
        <v>309.35000610351602</v>
      </c>
      <c r="G61" s="33">
        <v>81.779998779296903</v>
      </c>
      <c r="H61" s="33">
        <v>89.739997863769503</v>
      </c>
      <c r="I61" s="33">
        <v>368.77999877929699</v>
      </c>
      <c r="J61" s="33">
        <v>89.050003051757798</v>
      </c>
      <c r="L61" s="34">
        <f t="shared" si="0"/>
        <v>-2.9474335946189124E-3</v>
      </c>
      <c r="N61" s="34">
        <f t="shared" si="1"/>
        <v>1.8767107020742912E-3</v>
      </c>
      <c r="O61" s="34">
        <f t="shared" si="2"/>
        <v>-4.8822256465511638E-3</v>
      </c>
      <c r="P61" s="34">
        <f t="shared" si="3"/>
        <v>-1.5062827396080669E-3</v>
      </c>
      <c r="Q61" s="34">
        <f t="shared" si="4"/>
        <v>-1.3819032550578481E-2</v>
      </c>
      <c r="R61" s="34">
        <f t="shared" si="5"/>
        <v>-5.6890879450075538E-3</v>
      </c>
      <c r="S61" s="34">
        <f t="shared" si="6"/>
        <v>4.6682708390022309E-3</v>
      </c>
      <c r="T61" s="34">
        <f t="shared" si="7"/>
        <v>-6.0915167369680612E-3</v>
      </c>
      <c r="U61" s="34">
        <f t="shared" si="8"/>
        <v>1.7929035935655424E-3</v>
      </c>
      <c r="V61" s="34">
        <f t="shared" si="9"/>
        <v>-1.457695144350124E-3</v>
      </c>
    </row>
    <row r="62" spans="1:22" ht="15" customHeight="1" x14ac:dyDescent="0.2">
      <c r="A62" s="32">
        <v>45965</v>
      </c>
      <c r="B62" s="33">
        <v>675.239990234375</v>
      </c>
      <c r="C62" s="33">
        <v>270.04000854492199</v>
      </c>
      <c r="D62" s="33">
        <v>514.33001708984398</v>
      </c>
      <c r="E62" s="33">
        <v>186.86000061035199</v>
      </c>
      <c r="F62" s="33">
        <v>309.25</v>
      </c>
      <c r="G62" s="33">
        <v>81.690002441406307</v>
      </c>
      <c r="H62" s="33">
        <v>89.940002441406307</v>
      </c>
      <c r="I62" s="33">
        <v>362.32000732421898</v>
      </c>
      <c r="J62" s="33">
        <v>89.199996948242202</v>
      </c>
      <c r="L62" s="34">
        <f t="shared" si="0"/>
        <v>-3.5215251837470169E-3</v>
      </c>
      <c r="N62" s="34">
        <f t="shared" si="1"/>
        <v>-1.1853596017736501E-2</v>
      </c>
      <c r="O62" s="34">
        <f t="shared" si="2"/>
        <v>3.679690752169229E-3</v>
      </c>
      <c r="P62" s="34">
        <f t="shared" si="3"/>
        <v>-5.2221574261418491E-3</v>
      </c>
      <c r="Q62" s="34">
        <f t="shared" si="4"/>
        <v>3.2213364179711768E-3</v>
      </c>
      <c r="R62" s="34">
        <f t="shared" si="5"/>
        <v>-3.232781688795594E-4</v>
      </c>
      <c r="S62" s="34">
        <f t="shared" si="6"/>
        <v>-1.100468809414834E-3</v>
      </c>
      <c r="T62" s="34">
        <f t="shared" si="7"/>
        <v>2.2287116380415029E-3</v>
      </c>
      <c r="U62" s="34">
        <f t="shared" si="8"/>
        <v>-1.7517195825319409E-2</v>
      </c>
      <c r="V62" s="34">
        <f t="shared" si="9"/>
        <v>1.6843783418762914E-3</v>
      </c>
    </row>
    <row r="63" spans="1:22" ht="15" customHeight="1" x14ac:dyDescent="0.2">
      <c r="A63" s="32">
        <v>45966</v>
      </c>
      <c r="B63" s="33">
        <v>677.58001708984398</v>
      </c>
      <c r="C63" s="33">
        <v>270.14001464843801</v>
      </c>
      <c r="D63" s="33">
        <v>507.16000366210898</v>
      </c>
      <c r="E63" s="33">
        <v>186</v>
      </c>
      <c r="F63" s="33">
        <v>311.67999267578102</v>
      </c>
      <c r="G63" s="33">
        <v>82.139999389648395</v>
      </c>
      <c r="H63" s="33">
        <v>88.959999084472699</v>
      </c>
      <c r="I63" s="33">
        <v>366.510009765625</v>
      </c>
      <c r="J63" s="33">
        <v>89.279998779296903</v>
      </c>
      <c r="L63" s="34">
        <f t="shared" si="0"/>
        <v>-4.479407343787539E-4</v>
      </c>
      <c r="N63" s="34">
        <f t="shared" si="1"/>
        <v>3.4654743340316596E-3</v>
      </c>
      <c r="O63" s="34">
        <f t="shared" si="2"/>
        <v>3.7033809936115603E-4</v>
      </c>
      <c r="P63" s="34">
        <f t="shared" si="3"/>
        <v>-1.3940491881659911E-2</v>
      </c>
      <c r="Q63" s="34">
        <f t="shared" si="4"/>
        <v>-4.6023793617837594E-3</v>
      </c>
      <c r="R63" s="34">
        <f t="shared" si="5"/>
        <v>7.8576966072143595E-3</v>
      </c>
      <c r="S63" s="34">
        <f t="shared" si="6"/>
        <v>5.5085926648716921E-3</v>
      </c>
      <c r="T63" s="34">
        <f t="shared" si="7"/>
        <v>-1.0896190019252572E-2</v>
      </c>
      <c r="U63" s="34">
        <f t="shared" si="8"/>
        <v>1.156436949852635E-2</v>
      </c>
      <c r="V63" s="34">
        <f t="shared" si="9"/>
        <v>8.9688154475076054E-4</v>
      </c>
    </row>
    <row r="64" spans="1:22" ht="15" customHeight="1" x14ac:dyDescent="0.2">
      <c r="A64" s="32">
        <v>45967</v>
      </c>
      <c r="B64" s="33">
        <v>670.30999755859398</v>
      </c>
      <c r="C64" s="33">
        <v>269.76998901367199</v>
      </c>
      <c r="D64" s="33">
        <v>497.10000610351602</v>
      </c>
      <c r="E64" s="33">
        <v>186.97000122070301</v>
      </c>
      <c r="F64" s="33">
        <v>313.42001342773398</v>
      </c>
      <c r="G64" s="33">
        <v>82</v>
      </c>
      <c r="H64" s="33">
        <v>89.760002136230497</v>
      </c>
      <c r="I64" s="33">
        <v>366.07000732421898</v>
      </c>
      <c r="J64" s="33">
        <v>88.849998474121094</v>
      </c>
      <c r="L64" s="34">
        <f t="shared" si="0"/>
        <v>-3.3643771438746461E-3</v>
      </c>
      <c r="N64" s="34">
        <f t="shared" si="1"/>
        <v>-1.0729388925125316E-2</v>
      </c>
      <c r="O64" s="34">
        <f t="shared" si="2"/>
        <v>-1.3697549963028743E-3</v>
      </c>
      <c r="P64" s="34">
        <f t="shared" si="3"/>
        <v>-1.9835944250239712E-2</v>
      </c>
      <c r="Q64" s="34">
        <f t="shared" si="4"/>
        <v>5.2150603263603212E-3</v>
      </c>
      <c r="R64" s="34">
        <f t="shared" si="5"/>
        <v>5.5827155827836705E-3</v>
      </c>
      <c r="S64" s="34">
        <f t="shared" si="6"/>
        <v>-1.7043996918514326E-3</v>
      </c>
      <c r="T64" s="34">
        <f t="shared" si="7"/>
        <v>8.9928401527763491E-3</v>
      </c>
      <c r="U64" s="34">
        <f t="shared" si="8"/>
        <v>-1.2005195756792375E-3</v>
      </c>
      <c r="V64" s="34">
        <f t="shared" si="9"/>
        <v>-4.8163117277676415E-3</v>
      </c>
    </row>
    <row r="65" spans="1:22" ht="15" customHeight="1" x14ac:dyDescent="0.2">
      <c r="A65" s="32">
        <v>45968</v>
      </c>
      <c r="B65" s="33">
        <v>670.969970703125</v>
      </c>
      <c r="C65" s="33">
        <v>268.47000122070301</v>
      </c>
      <c r="D65" s="33">
        <v>496.82000732421898</v>
      </c>
      <c r="E65" s="33">
        <v>186.57000732421901</v>
      </c>
      <c r="F65" s="33">
        <v>314.20999145507801</v>
      </c>
      <c r="G65" s="33">
        <v>83.930000305175795</v>
      </c>
      <c r="H65" s="33">
        <v>89.569999694824205</v>
      </c>
      <c r="I65" s="33">
        <v>368.30999755859398</v>
      </c>
      <c r="J65" s="33">
        <v>90.230003356933594</v>
      </c>
      <c r="L65" s="34">
        <f t="shared" si="0"/>
        <v>1.8566755839459258E-3</v>
      </c>
      <c r="N65" s="34">
        <f t="shared" si="1"/>
        <v>9.8457899618797917E-4</v>
      </c>
      <c r="O65" s="34">
        <f t="shared" si="2"/>
        <v>-4.8188747670634413E-3</v>
      </c>
      <c r="P65" s="34">
        <f t="shared" si="3"/>
        <v>-5.6326448573551513E-4</v>
      </c>
      <c r="Q65" s="34">
        <f t="shared" si="4"/>
        <v>-2.1393479909744828E-3</v>
      </c>
      <c r="R65" s="34">
        <f t="shared" si="5"/>
        <v>2.5205092001125973E-3</v>
      </c>
      <c r="S65" s="34">
        <f t="shared" si="6"/>
        <v>2.3536589087509663E-2</v>
      </c>
      <c r="T65" s="34">
        <f t="shared" si="7"/>
        <v>-2.1167829421162576E-3</v>
      </c>
      <c r="U65" s="34">
        <f t="shared" si="8"/>
        <v>6.1190214700956869E-3</v>
      </c>
      <c r="V65" s="34">
        <f t="shared" si="9"/>
        <v>1.5531850382805024E-2</v>
      </c>
    </row>
    <row r="66" spans="1:22" ht="15" customHeight="1" x14ac:dyDescent="0.2">
      <c r="A66" s="32">
        <v>45971</v>
      </c>
      <c r="B66" s="33">
        <v>681.44000244140602</v>
      </c>
      <c r="C66" s="33">
        <v>269.42999267578102</v>
      </c>
      <c r="D66" s="33">
        <v>506</v>
      </c>
      <c r="E66" s="33">
        <v>188.41000366210901</v>
      </c>
      <c r="F66" s="33">
        <v>316.89001464843801</v>
      </c>
      <c r="G66" s="33">
        <v>84.769996643066406</v>
      </c>
      <c r="H66" s="33">
        <v>89.550003051757798</v>
      </c>
      <c r="I66" s="33">
        <v>378.38000488281301</v>
      </c>
      <c r="J66" s="33">
        <v>90.180000305175795</v>
      </c>
      <c r="L66" s="34">
        <f t="shared" si="0"/>
        <v>1.0888892276599896E-2</v>
      </c>
      <c r="N66" s="34">
        <f t="shared" si="1"/>
        <v>1.5604322392117176E-2</v>
      </c>
      <c r="O66" s="34">
        <f t="shared" si="2"/>
        <v>3.5757866827319518E-3</v>
      </c>
      <c r="P66" s="34">
        <f t="shared" si="3"/>
        <v>1.8477501993574563E-2</v>
      </c>
      <c r="Q66" s="34">
        <f t="shared" si="4"/>
        <v>9.8622300780235594E-3</v>
      </c>
      <c r="R66" s="34">
        <f t="shared" si="5"/>
        <v>8.5294015666053102E-3</v>
      </c>
      <c r="S66" s="34">
        <f t="shared" si="6"/>
        <v>1.0008296614277601E-2</v>
      </c>
      <c r="T66" s="34">
        <f t="shared" si="7"/>
        <v>-2.2325157010760766E-4</v>
      </c>
      <c r="U66" s="34">
        <f t="shared" si="8"/>
        <v>2.7341118598381176E-2</v>
      </c>
      <c r="V66" s="34">
        <f t="shared" si="9"/>
        <v>-5.5417322284689874E-4</v>
      </c>
    </row>
    <row r="67" spans="1:22" ht="15" customHeight="1" x14ac:dyDescent="0.2">
      <c r="A67" s="32">
        <v>45972</v>
      </c>
      <c r="B67" s="33">
        <v>683</v>
      </c>
      <c r="C67" s="33">
        <v>275.25</v>
      </c>
      <c r="D67" s="33">
        <v>508.67999267578102</v>
      </c>
      <c r="E67" s="33">
        <v>193.830001831055</v>
      </c>
      <c r="F67" s="33">
        <v>315.61999511718801</v>
      </c>
      <c r="G67" s="33">
        <v>85.760002136230497</v>
      </c>
      <c r="H67" s="33">
        <v>89.959999084472699</v>
      </c>
      <c r="I67" s="33">
        <v>379.86999511718801</v>
      </c>
      <c r="J67" s="33">
        <v>91.190002441406307</v>
      </c>
      <c r="L67" s="34">
        <f t="shared" si="0"/>
        <v>9.4986278584539632E-3</v>
      </c>
      <c r="N67" s="34">
        <f t="shared" si="1"/>
        <v>2.2892661907210066E-3</v>
      </c>
      <c r="O67" s="34">
        <f t="shared" si="2"/>
        <v>2.1601185771557674E-2</v>
      </c>
      <c r="P67" s="34">
        <f t="shared" si="3"/>
        <v>5.2964282130059104E-3</v>
      </c>
      <c r="Q67" s="34">
        <f t="shared" si="4"/>
        <v>2.8767040303582458E-2</v>
      </c>
      <c r="R67" s="34">
        <f t="shared" si="5"/>
        <v>-4.0077612816515895E-3</v>
      </c>
      <c r="S67" s="34">
        <f t="shared" si="6"/>
        <v>1.1678725166554216E-2</v>
      </c>
      <c r="T67" s="34">
        <f t="shared" si="7"/>
        <v>4.5784033360438681E-3</v>
      </c>
      <c r="U67" s="34">
        <f t="shared" si="8"/>
        <v>3.9378144065420617E-3</v>
      </c>
      <c r="V67" s="34">
        <f t="shared" si="9"/>
        <v>1.1199846227684551E-2</v>
      </c>
    </row>
    <row r="68" spans="1:22" ht="15" customHeight="1" x14ac:dyDescent="0.2">
      <c r="A68" s="32">
        <v>45973</v>
      </c>
      <c r="B68" s="33">
        <v>683.38000488281295</v>
      </c>
      <c r="C68" s="33">
        <v>273.47000122070301</v>
      </c>
      <c r="D68" s="33">
        <v>511.14001464843801</v>
      </c>
      <c r="E68" s="33">
        <v>194.38999938964801</v>
      </c>
      <c r="F68" s="33">
        <v>320.41000366210898</v>
      </c>
      <c r="G68" s="33">
        <v>85.889999389648395</v>
      </c>
      <c r="H68" s="33">
        <v>90.120002746582003</v>
      </c>
      <c r="I68" s="33">
        <v>385.989990234375</v>
      </c>
      <c r="J68" s="33">
        <v>90.510002136230497</v>
      </c>
      <c r="L68" s="34">
        <f t="shared" si="0"/>
        <v>2.6732730281487918E-3</v>
      </c>
      <c r="N68" s="34">
        <f t="shared" si="1"/>
        <v>5.5637610953573891E-4</v>
      </c>
      <c r="O68" s="34">
        <f t="shared" si="2"/>
        <v>-6.4668438848209941E-3</v>
      </c>
      <c r="P68" s="34">
        <f t="shared" si="3"/>
        <v>4.8360895023935591E-3</v>
      </c>
      <c r="Q68" s="34">
        <f t="shared" si="4"/>
        <v>2.8891170267908439E-3</v>
      </c>
      <c r="R68" s="34">
        <f t="shared" si="5"/>
        <v>1.5176505351450986E-2</v>
      </c>
      <c r="S68" s="34">
        <f t="shared" si="6"/>
        <v>1.5158261448198207E-3</v>
      </c>
      <c r="T68" s="34">
        <f t="shared" si="7"/>
        <v>1.7786089788536241E-3</v>
      </c>
      <c r="U68" s="34">
        <f t="shared" si="8"/>
        <v>1.6110762091907205E-2</v>
      </c>
      <c r="V68" s="34">
        <f t="shared" si="9"/>
        <v>-7.4569611467303343E-3</v>
      </c>
    </row>
    <row r="69" spans="1:22" ht="15" customHeight="1" x14ac:dyDescent="0.2">
      <c r="A69" s="32">
        <v>45974</v>
      </c>
      <c r="B69" s="33">
        <v>672.03997802734398</v>
      </c>
      <c r="C69" s="33">
        <v>272.95001220703102</v>
      </c>
      <c r="D69" s="33">
        <v>503.29000854492199</v>
      </c>
      <c r="E69" s="33">
        <v>195.25</v>
      </c>
      <c r="F69" s="33">
        <v>309.48001098632801</v>
      </c>
      <c r="G69" s="33">
        <v>83.989997863769503</v>
      </c>
      <c r="H69" s="33">
        <v>89.379997253417997</v>
      </c>
      <c r="I69" s="33">
        <v>382.86999511718801</v>
      </c>
      <c r="J69" s="33">
        <v>89.400001525878906</v>
      </c>
      <c r="L69" s="34">
        <f t="shared" si="0"/>
        <v>-1.1580666482746773E-2</v>
      </c>
      <c r="N69" s="34">
        <f t="shared" si="1"/>
        <v>-1.6594027882647189E-2</v>
      </c>
      <c r="O69" s="34">
        <f t="shared" si="2"/>
        <v>-1.9014480979664405E-3</v>
      </c>
      <c r="P69" s="34">
        <f t="shared" si="3"/>
        <v>-1.5357839101904913E-2</v>
      </c>
      <c r="Q69" s="34">
        <f t="shared" si="4"/>
        <v>4.4240990434294414E-3</v>
      </c>
      <c r="R69" s="34">
        <f t="shared" si="5"/>
        <v>-3.411252005510812E-2</v>
      </c>
      <c r="S69" s="34">
        <f t="shared" si="6"/>
        <v>-2.2121335887538507E-2</v>
      </c>
      <c r="T69" s="34">
        <f t="shared" si="7"/>
        <v>-8.2113345607068844E-3</v>
      </c>
      <c r="U69" s="34">
        <f t="shared" si="8"/>
        <v>-8.0830985158255597E-3</v>
      </c>
      <c r="V69" s="34">
        <f t="shared" si="9"/>
        <v>-1.2263844703935378E-2</v>
      </c>
    </row>
    <row r="70" spans="1:22" ht="15" customHeight="1" x14ac:dyDescent="0.2">
      <c r="A70" s="32">
        <v>45975</v>
      </c>
      <c r="B70" s="33">
        <v>671.92999267578102</v>
      </c>
      <c r="C70" s="33">
        <v>272.41000366210898</v>
      </c>
      <c r="D70" s="33">
        <v>510.17999267578102</v>
      </c>
      <c r="E70" s="33">
        <v>195.92999267578099</v>
      </c>
      <c r="F70" s="33">
        <v>303.60998535156301</v>
      </c>
      <c r="G70" s="33">
        <v>83.879997253417997</v>
      </c>
      <c r="H70" s="33">
        <v>88.870002746582003</v>
      </c>
      <c r="I70" s="33">
        <v>375.95999145507801</v>
      </c>
      <c r="J70" s="33">
        <v>89.589996337890597</v>
      </c>
      <c r="L70" s="34">
        <f t="shared" si="0"/>
        <v>-2.3163970304811892E-3</v>
      </c>
      <c r="N70" s="34">
        <f t="shared" si="1"/>
        <v>-1.6365894166858741E-4</v>
      </c>
      <c r="O70" s="34">
        <f t="shared" si="2"/>
        <v>-1.9784155368069989E-3</v>
      </c>
      <c r="P70" s="34">
        <f t="shared" si="3"/>
        <v>1.3689888561028374E-2</v>
      </c>
      <c r="Q70" s="34">
        <f t="shared" si="4"/>
        <v>3.4826769566247417E-3</v>
      </c>
      <c r="R70" s="34">
        <f t="shared" si="5"/>
        <v>-1.8967382145479883E-2</v>
      </c>
      <c r="S70" s="34">
        <f t="shared" si="6"/>
        <v>-1.3096870240421055E-3</v>
      </c>
      <c r="T70" s="34">
        <f t="shared" si="7"/>
        <v>-5.7059132077394992E-3</v>
      </c>
      <c r="U70" s="34">
        <f t="shared" si="8"/>
        <v>-1.804791117150617E-2</v>
      </c>
      <c r="V70" s="34">
        <f t="shared" si="9"/>
        <v>2.1252215745957148E-3</v>
      </c>
    </row>
    <row r="71" spans="1:22" ht="15" customHeight="1" x14ac:dyDescent="0.2">
      <c r="A71" s="32">
        <v>45978</v>
      </c>
      <c r="B71" s="33">
        <v>665.66998291015602</v>
      </c>
      <c r="C71" s="33">
        <v>267.45999145507801</v>
      </c>
      <c r="D71" s="33">
        <v>507.489990234375</v>
      </c>
      <c r="E71" s="33">
        <v>199.580001831055</v>
      </c>
      <c r="F71" s="33">
        <v>300.36999511718801</v>
      </c>
      <c r="G71" s="33">
        <v>85.75</v>
      </c>
      <c r="H71" s="33">
        <v>89.089996337890597</v>
      </c>
      <c r="I71" s="33">
        <v>371.64999389648398</v>
      </c>
      <c r="J71" s="33">
        <v>88.849998474121094</v>
      </c>
      <c r="L71" s="34">
        <f t="shared" si="0"/>
        <v>-5.0520035223200251E-3</v>
      </c>
      <c r="N71" s="34">
        <f t="shared" si="1"/>
        <v>-9.3164612889151677E-3</v>
      </c>
      <c r="O71" s="34">
        <f t="shared" si="2"/>
        <v>-1.8171183658772128E-2</v>
      </c>
      <c r="P71" s="34">
        <f t="shared" si="3"/>
        <v>-5.2726537301033272E-3</v>
      </c>
      <c r="Q71" s="34">
        <f t="shared" si="4"/>
        <v>1.8629149654049826E-2</v>
      </c>
      <c r="R71" s="34">
        <f t="shared" si="5"/>
        <v>-1.067155360724803E-2</v>
      </c>
      <c r="S71" s="34">
        <f t="shared" si="6"/>
        <v>2.2293786454622211E-2</v>
      </c>
      <c r="T71" s="34">
        <f t="shared" si="7"/>
        <v>2.4754538596776232E-3</v>
      </c>
      <c r="U71" s="34">
        <f t="shared" si="8"/>
        <v>-1.146397929714027E-2</v>
      </c>
      <c r="V71" s="34">
        <f t="shared" si="9"/>
        <v>-8.2598269228473242E-3</v>
      </c>
    </row>
    <row r="72" spans="1:22" ht="15" customHeight="1" x14ac:dyDescent="0.2">
      <c r="A72" s="32">
        <v>45979</v>
      </c>
      <c r="B72" s="33">
        <v>660.08001708984398</v>
      </c>
      <c r="C72" s="33">
        <v>267.44000244140602</v>
      </c>
      <c r="D72" s="33">
        <v>493.79000854492199</v>
      </c>
      <c r="E72" s="33">
        <v>200</v>
      </c>
      <c r="F72" s="33">
        <v>299.41000366210898</v>
      </c>
      <c r="G72" s="33">
        <v>84.639999389648395</v>
      </c>
      <c r="H72" s="33">
        <v>89.059997558593807</v>
      </c>
      <c r="I72" s="33">
        <v>374.35000610351602</v>
      </c>
      <c r="J72" s="33">
        <v>89.209999084472699</v>
      </c>
      <c r="L72" s="34">
        <f t="shared" si="0"/>
        <v>-4.6502760543913431E-3</v>
      </c>
      <c r="N72" s="34">
        <f t="shared" si="1"/>
        <v>-8.3975032130395588E-3</v>
      </c>
      <c r="O72" s="34">
        <f t="shared" si="2"/>
        <v>-7.4736462688296257E-5</v>
      </c>
      <c r="P72" s="34">
        <f t="shared" si="3"/>
        <v>-2.6995570263614321E-2</v>
      </c>
      <c r="Q72" s="34">
        <f t="shared" si="4"/>
        <v>2.1044100866405291E-3</v>
      </c>
      <c r="R72" s="34">
        <f t="shared" si="5"/>
        <v>-3.1960297988635755E-3</v>
      </c>
      <c r="S72" s="34">
        <f t="shared" si="6"/>
        <v>-1.29446135317971E-2</v>
      </c>
      <c r="T72" s="34">
        <f t="shared" si="7"/>
        <v>-3.3672444191168438E-4</v>
      </c>
      <c r="U72" s="34">
        <f t="shared" si="8"/>
        <v>7.2649327361056226E-3</v>
      </c>
      <c r="V72" s="34">
        <f t="shared" si="9"/>
        <v>4.0517795895793629E-3</v>
      </c>
    </row>
    <row r="73" spans="1:22" ht="15" customHeight="1" x14ac:dyDescent="0.2">
      <c r="A73" s="32">
        <v>45980</v>
      </c>
      <c r="B73" s="33">
        <v>662.63000488281295</v>
      </c>
      <c r="C73" s="33">
        <v>268.55999755859398</v>
      </c>
      <c r="D73" s="33">
        <v>487.11999511718801</v>
      </c>
      <c r="E73" s="33">
        <v>202.50999450683599</v>
      </c>
      <c r="F73" s="33">
        <v>303.26998901367199</v>
      </c>
      <c r="G73" s="33">
        <v>84.269996643066406</v>
      </c>
      <c r="H73" s="33">
        <v>88.879997253417997</v>
      </c>
      <c r="I73" s="33">
        <v>374.95999145507801</v>
      </c>
      <c r="J73" s="33">
        <v>88.510002136230497</v>
      </c>
      <c r="L73" s="34">
        <f t="shared" si="0"/>
        <v>1.4154809221884827E-3</v>
      </c>
      <c r="N73" s="34">
        <f t="shared" si="1"/>
        <v>3.8631495075571731E-3</v>
      </c>
      <c r="O73" s="34">
        <f t="shared" si="2"/>
        <v>4.1878369240342384E-3</v>
      </c>
      <c r="P73" s="34">
        <f t="shared" si="3"/>
        <v>-1.3507793418884417E-2</v>
      </c>
      <c r="Q73" s="34">
        <f t="shared" si="4"/>
        <v>1.2549972534179998E-2</v>
      </c>
      <c r="R73" s="34">
        <f t="shared" si="5"/>
        <v>1.2891971892559306E-2</v>
      </c>
      <c r="S73" s="34">
        <f t="shared" si="6"/>
        <v>-4.371488058248274E-3</v>
      </c>
      <c r="T73" s="34">
        <f t="shared" si="7"/>
        <v>-2.0211128465098538E-3</v>
      </c>
      <c r="U73" s="34">
        <f t="shared" si="8"/>
        <v>1.62945196104336E-3</v>
      </c>
      <c r="V73" s="34">
        <f t="shared" si="9"/>
        <v>-7.8466198343907223E-3</v>
      </c>
    </row>
    <row r="74" spans="1:22" ht="15" customHeight="1" x14ac:dyDescent="0.2">
      <c r="A74" s="32">
        <v>45981</v>
      </c>
      <c r="B74" s="33">
        <v>652.530029296875</v>
      </c>
      <c r="C74" s="33">
        <v>266.25</v>
      </c>
      <c r="D74" s="33">
        <v>478.42999267578102</v>
      </c>
      <c r="E74" s="33">
        <v>203.07000732421901</v>
      </c>
      <c r="F74" s="33">
        <v>298.38000488281301</v>
      </c>
      <c r="G74" s="33">
        <v>84.300003051757798</v>
      </c>
      <c r="H74" s="33">
        <v>89.230003356933594</v>
      </c>
      <c r="I74" s="33">
        <v>374.85000610351602</v>
      </c>
      <c r="J74" s="33">
        <v>88.139999389648395</v>
      </c>
      <c r="L74" s="34">
        <f t="shared" si="0"/>
        <v>-7.6931222069515264E-3</v>
      </c>
      <c r="N74" s="34">
        <f t="shared" si="1"/>
        <v>-1.5242255122033255E-2</v>
      </c>
      <c r="O74" s="34">
        <f t="shared" si="2"/>
        <v>-8.601420835543383E-3</v>
      </c>
      <c r="P74" s="34">
        <f t="shared" si="3"/>
        <v>-1.7839551914341834E-2</v>
      </c>
      <c r="Q74" s="34">
        <f t="shared" si="4"/>
        <v>2.7653589085654406E-3</v>
      </c>
      <c r="R74" s="34">
        <f t="shared" si="5"/>
        <v>-1.6124193978978019E-2</v>
      </c>
      <c r="S74" s="34">
        <f t="shared" si="6"/>
        <v>3.5607463969045128E-4</v>
      </c>
      <c r="T74" s="34">
        <f t="shared" si="7"/>
        <v>3.9379625824880193E-3</v>
      </c>
      <c r="U74" s="34">
        <f t="shared" si="8"/>
        <v>-2.9332556557615241E-4</v>
      </c>
      <c r="V74" s="34">
        <f t="shared" si="9"/>
        <v>-4.1803495384917788E-3</v>
      </c>
    </row>
    <row r="75" spans="1:22" ht="15" customHeight="1" x14ac:dyDescent="0.2">
      <c r="A75" s="32">
        <v>45982</v>
      </c>
      <c r="B75" s="33">
        <v>659.030029296875</v>
      </c>
      <c r="C75" s="33">
        <v>271.489990234375</v>
      </c>
      <c r="D75" s="33">
        <v>472.11999511718801</v>
      </c>
      <c r="E75" s="33">
        <v>203.89999389648401</v>
      </c>
      <c r="F75" s="33">
        <v>298.01998901367199</v>
      </c>
      <c r="G75" s="33">
        <v>83.480003356933594</v>
      </c>
      <c r="H75" s="33">
        <v>89.5</v>
      </c>
      <c r="I75" s="33">
        <v>374.26998901367199</v>
      </c>
      <c r="J75" s="33">
        <v>89.569999694824205</v>
      </c>
      <c r="L75" s="34">
        <f t="shared" si="0"/>
        <v>4.7579227132909926E-3</v>
      </c>
      <c r="N75" s="34">
        <f t="shared" si="1"/>
        <v>9.9612273890352654E-3</v>
      </c>
      <c r="O75" s="34">
        <f t="shared" si="2"/>
        <v>1.9680714495305063E-2</v>
      </c>
      <c r="P75" s="34">
        <f t="shared" si="3"/>
        <v>-1.3188967362397608E-2</v>
      </c>
      <c r="Q75" s="34">
        <f t="shared" si="4"/>
        <v>4.0871942794578064E-3</v>
      </c>
      <c r="R75" s="34">
        <f t="shared" si="5"/>
        <v>-1.2065683465700694E-3</v>
      </c>
      <c r="S75" s="34">
        <f t="shared" si="6"/>
        <v>-9.727160915056543E-3</v>
      </c>
      <c r="T75" s="34">
        <f t="shared" si="7"/>
        <v>3.0258504192404168E-3</v>
      </c>
      <c r="U75" s="34">
        <f t="shared" si="8"/>
        <v>-1.547331146858455E-3</v>
      </c>
      <c r="V75" s="34">
        <f t="shared" si="9"/>
        <v>1.6224192365308365E-2</v>
      </c>
    </row>
    <row r="76" spans="1:22" ht="15" customHeight="1" x14ac:dyDescent="0.2">
      <c r="A76" s="32">
        <v>45985</v>
      </c>
      <c r="B76" s="33">
        <v>668.72998046875</v>
      </c>
      <c r="C76" s="33">
        <v>275.92001342773398</v>
      </c>
      <c r="D76" s="33">
        <v>474</v>
      </c>
      <c r="E76" s="33">
        <v>206.05000305175801</v>
      </c>
      <c r="F76" s="33">
        <v>298</v>
      </c>
      <c r="G76" s="33">
        <v>84.230003356933594</v>
      </c>
      <c r="H76" s="33">
        <v>90.010002136230497</v>
      </c>
      <c r="I76" s="33">
        <v>380.20001220703102</v>
      </c>
      <c r="J76" s="33">
        <v>89.809997558593807</v>
      </c>
      <c r="L76" s="34">
        <f t="shared" si="0"/>
        <v>9.9199657068365955E-3</v>
      </c>
      <c r="N76" s="34">
        <f t="shared" si="1"/>
        <v>1.4718526835907575E-2</v>
      </c>
      <c r="O76" s="34">
        <f t="shared" si="2"/>
        <v>1.6317445772253247E-2</v>
      </c>
      <c r="P76" s="34">
        <f t="shared" si="3"/>
        <v>3.982048848292008E-3</v>
      </c>
      <c r="Q76" s="34">
        <f t="shared" si="4"/>
        <v>1.0544429718646997E-2</v>
      </c>
      <c r="R76" s="34">
        <f t="shared" si="5"/>
        <v>-6.7072728034633933E-5</v>
      </c>
      <c r="S76" s="34">
        <f t="shared" si="6"/>
        <v>8.9841874681442224E-3</v>
      </c>
      <c r="T76" s="34">
        <f t="shared" si="7"/>
        <v>5.6983478908434471E-3</v>
      </c>
      <c r="U76" s="34">
        <f t="shared" si="8"/>
        <v>1.5844239098589341E-2</v>
      </c>
      <c r="V76" s="34">
        <f t="shared" si="9"/>
        <v>2.6794447313531755E-3</v>
      </c>
    </row>
    <row r="77" spans="1:22" ht="15" customHeight="1" x14ac:dyDescent="0.2">
      <c r="A77" s="32">
        <v>45986</v>
      </c>
      <c r="B77" s="33">
        <v>675.02001953125</v>
      </c>
      <c r="C77" s="33">
        <v>276.97000122070301</v>
      </c>
      <c r="D77" s="33">
        <v>476.989990234375</v>
      </c>
      <c r="E77" s="33">
        <v>206.669998168945</v>
      </c>
      <c r="F77" s="33">
        <v>303</v>
      </c>
      <c r="G77" s="33">
        <v>84.830001831054702</v>
      </c>
      <c r="H77" s="33">
        <v>90.239997863769503</v>
      </c>
      <c r="I77" s="33">
        <v>380.07998657226602</v>
      </c>
      <c r="J77" s="33">
        <v>90.639999389648395</v>
      </c>
      <c r="L77" s="34">
        <f t="shared" si="0"/>
        <v>6.2788020657039067E-3</v>
      </c>
      <c r="N77" s="34">
        <f t="shared" si="1"/>
        <v>9.4059474619201389E-3</v>
      </c>
      <c r="O77" s="34">
        <f t="shared" si="2"/>
        <v>3.8054064289325673E-3</v>
      </c>
      <c r="P77" s="34">
        <f t="shared" si="3"/>
        <v>6.3079962750527407E-3</v>
      </c>
      <c r="Q77" s="34">
        <f t="shared" si="4"/>
        <v>3.0089546615112983E-3</v>
      </c>
      <c r="R77" s="34">
        <f t="shared" si="5"/>
        <v>1.6778523489932917E-2</v>
      </c>
      <c r="S77" s="34">
        <f t="shared" si="6"/>
        <v>7.123334325163766E-3</v>
      </c>
      <c r="T77" s="34">
        <f t="shared" si="7"/>
        <v>2.5552241093262928E-3</v>
      </c>
      <c r="U77" s="34">
        <f t="shared" si="8"/>
        <v>-3.1569077041382343E-4</v>
      </c>
      <c r="V77" s="34">
        <f t="shared" si="9"/>
        <v>9.2417531858084434E-3</v>
      </c>
    </row>
    <row r="78" spans="1:22" ht="15" customHeight="1" x14ac:dyDescent="0.2">
      <c r="A78" s="32">
        <v>45987</v>
      </c>
      <c r="B78" s="33">
        <v>679.67999267578102</v>
      </c>
      <c r="C78" s="33">
        <v>277.54998779296898</v>
      </c>
      <c r="D78" s="33">
        <v>485.5</v>
      </c>
      <c r="E78" s="33">
        <v>207.55999755859401</v>
      </c>
      <c r="F78" s="33">
        <v>307.64001464843801</v>
      </c>
      <c r="G78" s="33">
        <v>85.540000915527301</v>
      </c>
      <c r="H78" s="33">
        <v>90.639999389648395</v>
      </c>
      <c r="I78" s="33">
        <v>383.11999511718801</v>
      </c>
      <c r="J78" s="33">
        <v>91.040000915527301</v>
      </c>
      <c r="L78" s="34">
        <f t="shared" si="0"/>
        <v>7.7113377373604283E-3</v>
      </c>
      <c r="N78" s="34">
        <f t="shared" si="1"/>
        <v>6.9034591711325533E-3</v>
      </c>
      <c r="O78" s="34">
        <f t="shared" si="2"/>
        <v>2.094041122539414E-3</v>
      </c>
      <c r="P78" s="34">
        <f t="shared" si="3"/>
        <v>1.7841065724342631E-2</v>
      </c>
      <c r="Q78" s="34">
        <f t="shared" si="4"/>
        <v>4.3063792400166445E-3</v>
      </c>
      <c r="R78" s="34">
        <f t="shared" si="5"/>
        <v>1.5313579697815216E-2</v>
      </c>
      <c r="S78" s="34">
        <f t="shared" si="6"/>
        <v>8.3696695643908914E-3</v>
      </c>
      <c r="T78" s="34">
        <f t="shared" si="7"/>
        <v>4.4326411275270594E-3</v>
      </c>
      <c r="U78" s="34">
        <f t="shared" si="8"/>
        <v>7.998338908444369E-3</v>
      </c>
      <c r="V78" s="34">
        <f t="shared" si="9"/>
        <v>4.413079529704822E-3</v>
      </c>
    </row>
    <row r="79" spans="1:22" ht="15" customHeight="1" x14ac:dyDescent="0.2">
      <c r="A79" s="32">
        <v>45989</v>
      </c>
      <c r="B79" s="33">
        <v>683.39001464843795</v>
      </c>
      <c r="C79" s="33">
        <v>278.85000610351602</v>
      </c>
      <c r="D79" s="33">
        <v>492.010009765625</v>
      </c>
      <c r="E79" s="33">
        <v>206.919998168945</v>
      </c>
      <c r="F79" s="33">
        <v>313.07998657226602</v>
      </c>
      <c r="G79" s="33">
        <v>86.290000915527301</v>
      </c>
      <c r="H79" s="33">
        <v>90.209999084472699</v>
      </c>
      <c r="I79" s="33">
        <v>387.88000488281301</v>
      </c>
      <c r="J79" s="33">
        <v>91.339996337890597</v>
      </c>
      <c r="L79" s="34">
        <f t="shared" si="0"/>
        <v>6.175099567023095E-3</v>
      </c>
      <c r="N79" s="34">
        <f t="shared" si="1"/>
        <v>5.4584834225459566E-3</v>
      </c>
      <c r="O79" s="34">
        <f t="shared" si="2"/>
        <v>4.6839069274855483E-3</v>
      </c>
      <c r="P79" s="34">
        <f t="shared" si="3"/>
        <v>1.3408876963182381E-2</v>
      </c>
      <c r="Q79" s="34">
        <f t="shared" si="4"/>
        <v>-3.0834428462948038E-3</v>
      </c>
      <c r="R79" s="34">
        <f t="shared" si="5"/>
        <v>1.7682914005983985E-2</v>
      </c>
      <c r="S79" s="34">
        <f t="shared" si="6"/>
        <v>8.7678278229228468E-3</v>
      </c>
      <c r="T79" s="34">
        <f t="shared" si="7"/>
        <v>-4.7440457642456968E-3</v>
      </c>
      <c r="U79" s="34">
        <f t="shared" si="8"/>
        <v>1.2424331348639184E-2</v>
      </c>
      <c r="V79" s="34">
        <f t="shared" si="9"/>
        <v>3.295204518304562E-3</v>
      </c>
    </row>
    <row r="80" spans="1:22" ht="15" customHeight="1" x14ac:dyDescent="0.2">
      <c r="A80" s="32">
        <v>45992</v>
      </c>
      <c r="B80" s="33">
        <v>680.27001953125</v>
      </c>
      <c r="C80" s="33">
        <v>283.10000610351602</v>
      </c>
      <c r="D80" s="33">
        <v>486.739990234375</v>
      </c>
      <c r="E80" s="33">
        <v>205.33999633789099</v>
      </c>
      <c r="F80" s="33">
        <v>308.92001342773398</v>
      </c>
      <c r="G80" s="33">
        <v>84.650001525878906</v>
      </c>
      <c r="H80" s="33">
        <v>88.769996643066406</v>
      </c>
      <c r="I80" s="33">
        <v>389.75</v>
      </c>
      <c r="J80" s="33">
        <v>90.290000915527301</v>
      </c>
      <c r="L80" s="34">
        <f t="shared" si="0"/>
        <v>-4.5237958039707673E-3</v>
      </c>
      <c r="N80" s="34">
        <f t="shared" si="1"/>
        <v>-4.5654678153191908E-3</v>
      </c>
      <c r="O80" s="34">
        <f t="shared" si="2"/>
        <v>1.5241168753721723E-2</v>
      </c>
      <c r="P80" s="34">
        <f t="shared" si="3"/>
        <v>-1.0711203891482723E-2</v>
      </c>
      <c r="Q80" s="34">
        <f t="shared" si="4"/>
        <v>-7.635810192516912E-3</v>
      </c>
      <c r="R80" s="34">
        <f t="shared" si="5"/>
        <v>-1.3287253490959938E-2</v>
      </c>
      <c r="S80" s="34">
        <f t="shared" si="6"/>
        <v>-1.900567125099295E-2</v>
      </c>
      <c r="T80" s="34">
        <f t="shared" si="7"/>
        <v>-1.5962780800583665E-2</v>
      </c>
      <c r="U80" s="34">
        <f t="shared" si="8"/>
        <v>4.8210660349763401E-3</v>
      </c>
      <c r="V80" s="34">
        <f t="shared" si="9"/>
        <v>-1.1495461620986802E-2</v>
      </c>
    </row>
    <row r="81" spans="1:22" ht="15" customHeight="1" x14ac:dyDescent="0.2">
      <c r="A81" s="32">
        <v>45993</v>
      </c>
      <c r="B81" s="33">
        <v>681.530029296875</v>
      </c>
      <c r="C81" s="33">
        <v>286.19000244140602</v>
      </c>
      <c r="D81" s="33">
        <v>490</v>
      </c>
      <c r="E81" s="33">
        <v>205.419998168945</v>
      </c>
      <c r="F81" s="33">
        <v>307.88000488281301</v>
      </c>
      <c r="G81" s="33">
        <v>84.580001831054702</v>
      </c>
      <c r="H81" s="33">
        <v>88.809997558593807</v>
      </c>
      <c r="I81" s="33">
        <v>387.239990234375</v>
      </c>
      <c r="J81" s="33">
        <v>89.970001220703097</v>
      </c>
      <c r="L81" s="34">
        <f t="shared" si="0"/>
        <v>1.8330471957144199E-3</v>
      </c>
      <c r="N81" s="34">
        <f t="shared" si="1"/>
        <v>1.8522200441719594E-3</v>
      </c>
      <c r="O81" s="34">
        <f t="shared" si="2"/>
        <v>1.0914857899226416E-2</v>
      </c>
      <c r="P81" s="34">
        <f t="shared" si="3"/>
        <v>6.6976411041452799E-3</v>
      </c>
      <c r="Q81" s="34">
        <f t="shared" si="4"/>
        <v>3.8960666446286041E-4</v>
      </c>
      <c r="R81" s="34">
        <f t="shared" si="5"/>
        <v>-3.3665949103820481E-3</v>
      </c>
      <c r="S81" s="34">
        <f t="shared" si="6"/>
        <v>-8.2693081585838435E-4</v>
      </c>
      <c r="T81" s="34">
        <f t="shared" si="7"/>
        <v>4.5061301160398415E-4</v>
      </c>
      <c r="U81" s="34">
        <f t="shared" si="8"/>
        <v>-6.4400507135984331E-3</v>
      </c>
      <c r="V81" s="34">
        <f t="shared" si="9"/>
        <v>-3.5441321472970966E-3</v>
      </c>
    </row>
    <row r="82" spans="1:22" ht="15" customHeight="1" x14ac:dyDescent="0.2">
      <c r="A82" s="32">
        <v>45994</v>
      </c>
      <c r="B82" s="33">
        <v>683.89001464843795</v>
      </c>
      <c r="C82" s="33">
        <v>284.14999389648398</v>
      </c>
      <c r="D82" s="33">
        <v>477.73001098632801</v>
      </c>
      <c r="E82" s="33">
        <v>205.330001831055</v>
      </c>
      <c r="F82" s="33">
        <v>312.13000488281301</v>
      </c>
      <c r="G82" s="33">
        <v>84.949996948242202</v>
      </c>
      <c r="H82" s="33">
        <v>89.059997558593807</v>
      </c>
      <c r="I82" s="33">
        <v>386.88000488281301</v>
      </c>
      <c r="J82" s="33">
        <v>90.199996948242202</v>
      </c>
      <c r="L82" s="34">
        <f t="shared" si="0"/>
        <v>-1.8867200311011656E-3</v>
      </c>
      <c r="N82" s="34">
        <f t="shared" si="1"/>
        <v>3.462775299861276E-3</v>
      </c>
      <c r="O82" s="34">
        <f t="shared" si="2"/>
        <v>-7.1281614574908447E-3</v>
      </c>
      <c r="P82" s="34">
        <f t="shared" si="3"/>
        <v>-2.5040793905452996E-2</v>
      </c>
      <c r="Q82" s="34">
        <f t="shared" si="4"/>
        <v>-4.3810894115570154E-4</v>
      </c>
      <c r="R82" s="34">
        <f t="shared" si="5"/>
        <v>1.3804079292572657E-2</v>
      </c>
      <c r="S82" s="34">
        <f t="shared" si="6"/>
        <v>4.3744988079634783E-3</v>
      </c>
      <c r="T82" s="34">
        <f t="shared" si="7"/>
        <v>2.8149983883858365E-3</v>
      </c>
      <c r="U82" s="34">
        <f t="shared" si="8"/>
        <v>-9.2961822291159901E-4</v>
      </c>
      <c r="V82" s="34">
        <f t="shared" si="9"/>
        <v>2.5563601691513949E-3</v>
      </c>
    </row>
    <row r="83" spans="1:22" ht="15" customHeight="1" x14ac:dyDescent="0.2">
      <c r="A83" s="32">
        <v>45995</v>
      </c>
      <c r="B83" s="33">
        <v>684.39001464843795</v>
      </c>
      <c r="C83" s="33">
        <v>280.70001220703102</v>
      </c>
      <c r="D83" s="33">
        <v>480.83999633789102</v>
      </c>
      <c r="E83" s="33">
        <v>202.47999572753901</v>
      </c>
      <c r="F83" s="33">
        <v>316.10000610351602</v>
      </c>
      <c r="G83" s="33">
        <v>83.389999389648395</v>
      </c>
      <c r="H83" s="33">
        <v>88.580001831054702</v>
      </c>
      <c r="I83" s="33">
        <v>387.13000488281301</v>
      </c>
      <c r="J83" s="33">
        <v>89.980003356933594</v>
      </c>
      <c r="L83" s="34">
        <f t="shared" ref="L83:L146" si="10">IF(COUNT(N83:V83)&lt;9,"",SUMPRODUCT($B$12:$J$12,N83:V83))</f>
        <v>-2.786257067134285E-3</v>
      </c>
      <c r="N83" s="34">
        <f t="shared" ref="N83:N146" si="11">IF(OR(B83="",B82="",B82=0),"",B83/B82-1)</f>
        <v>7.3111171283435361E-4</v>
      </c>
      <c r="O83" s="34">
        <f t="shared" ref="O83:O146" si="12">IF(OR(C83="",C82="",C82=0),"",C83/C82-1)</f>
        <v>-1.2141410394363006E-2</v>
      </c>
      <c r="P83" s="34">
        <f t="shared" ref="P83:P146" si="13">IF(OR(D83="",D82="",D82=0),"",D83/D82-1)</f>
        <v>6.5099225086195922E-3</v>
      </c>
      <c r="Q83" s="34">
        <f t="shared" ref="Q83:Q146" si="14">IF(OR(E83="",E82="",E82=0),"",E83/E82-1)</f>
        <v>-1.388012505771552E-2</v>
      </c>
      <c r="R83" s="34">
        <f t="shared" ref="R83:R146" si="15">IF(OR(F83="",F82="",F82=0),"",F83/F82-1)</f>
        <v>1.2719063078198811E-2</v>
      </c>
      <c r="S83" s="34">
        <f t="shared" ref="S83:S146" si="16">IF(OR(G83="",G82="",G82=0),"",G83/G82-1)</f>
        <v>-1.8363715298827743E-2</v>
      </c>
      <c r="T83" s="34">
        <f t="shared" ref="T83:T146" si="17">IF(OR(H83="",H82="",H82=0),"",H83/H82-1)</f>
        <v>-5.3895771468364106E-3</v>
      </c>
      <c r="U83" s="34">
        <f t="shared" ref="U83:U146" si="18">IF(OR(I83="",I82="",I82=0),"",I83/I82-1)</f>
        <v>6.4619519449116147E-4</v>
      </c>
      <c r="V83" s="34">
        <f t="shared" ref="V83:V146" si="19">IF(OR(J83="",J82="",J82=0),"",J83/J82-1)</f>
        <v>-2.4389534229678489E-3</v>
      </c>
    </row>
    <row r="84" spans="1:22" ht="15" customHeight="1" x14ac:dyDescent="0.2">
      <c r="A84" s="32">
        <v>45996</v>
      </c>
      <c r="B84" s="33">
        <v>685.69000244140602</v>
      </c>
      <c r="C84" s="33">
        <v>278.77999877929699</v>
      </c>
      <c r="D84" s="33">
        <v>483.16000366210898</v>
      </c>
      <c r="E84" s="33">
        <v>201.92999267578099</v>
      </c>
      <c r="F84" s="33">
        <v>315.04000854492199</v>
      </c>
      <c r="G84" s="33">
        <v>83.129997253417997</v>
      </c>
      <c r="H84" s="33">
        <v>88.169998168945298</v>
      </c>
      <c r="I84" s="33">
        <v>386.44000244140602</v>
      </c>
      <c r="J84" s="33">
        <v>89.879997253417997</v>
      </c>
      <c r="L84" s="34">
        <f t="shared" si="10"/>
        <v>-1.6120828299110389E-3</v>
      </c>
      <c r="N84" s="34">
        <f t="shared" si="11"/>
        <v>1.899483869056473E-3</v>
      </c>
      <c r="O84" s="34">
        <f t="shared" si="12"/>
        <v>-6.8400902894080184E-3</v>
      </c>
      <c r="P84" s="34">
        <f t="shared" si="13"/>
        <v>4.8249050451028008E-3</v>
      </c>
      <c r="Q84" s="34">
        <f t="shared" si="14"/>
        <v>-2.7163327902184342E-3</v>
      </c>
      <c r="R84" s="34">
        <f t="shared" si="15"/>
        <v>-3.3533613986925781E-3</v>
      </c>
      <c r="S84" s="34">
        <f t="shared" si="16"/>
        <v>-3.1179054818732954E-3</v>
      </c>
      <c r="T84" s="34">
        <f t="shared" si="17"/>
        <v>-4.6286255772650664E-3</v>
      </c>
      <c r="U84" s="34">
        <f t="shared" si="18"/>
        <v>-1.782353299160766E-3</v>
      </c>
      <c r="V84" s="34">
        <f t="shared" si="19"/>
        <v>-1.1114258700223312E-3</v>
      </c>
    </row>
    <row r="85" spans="1:22" ht="15" customHeight="1" x14ac:dyDescent="0.2">
      <c r="A85" s="32">
        <v>45999</v>
      </c>
      <c r="B85" s="33">
        <v>683.63000488281295</v>
      </c>
      <c r="C85" s="33">
        <v>277.89001464843801</v>
      </c>
      <c r="D85" s="33">
        <v>491.01998901367199</v>
      </c>
      <c r="E85" s="33">
        <v>201.61999511718801</v>
      </c>
      <c r="F85" s="33">
        <v>315.20999145507801</v>
      </c>
      <c r="G85" s="33">
        <v>80.550003051757798</v>
      </c>
      <c r="H85" s="33">
        <v>87.879997253417997</v>
      </c>
      <c r="I85" s="33">
        <v>385.42001342773398</v>
      </c>
      <c r="J85" s="33">
        <v>89.190002441406307</v>
      </c>
      <c r="L85" s="34">
        <f t="shared" si="10"/>
        <v>-1.6487756232918605E-3</v>
      </c>
      <c r="N85" s="34">
        <f t="shared" si="11"/>
        <v>-3.0042694967965522E-3</v>
      </c>
      <c r="O85" s="34">
        <f t="shared" si="12"/>
        <v>-3.1924246171030068E-3</v>
      </c>
      <c r="P85" s="34">
        <f t="shared" si="13"/>
        <v>1.6267872530814298E-2</v>
      </c>
      <c r="Q85" s="34">
        <f t="shared" si="14"/>
        <v>-1.5351734256273675E-3</v>
      </c>
      <c r="R85" s="34">
        <f t="shared" si="15"/>
        <v>5.3955975604846884E-4</v>
      </c>
      <c r="S85" s="34">
        <f t="shared" si="16"/>
        <v>-3.1035658449442782E-2</v>
      </c>
      <c r="T85" s="34">
        <f t="shared" si="17"/>
        <v>-3.2891110530774981E-3</v>
      </c>
      <c r="U85" s="34">
        <f t="shared" si="18"/>
        <v>-2.6394498686163059E-3</v>
      </c>
      <c r="V85" s="34">
        <f t="shared" si="19"/>
        <v>-7.676845050030856E-3</v>
      </c>
    </row>
    <row r="86" spans="1:22" ht="15" customHeight="1" x14ac:dyDescent="0.2">
      <c r="A86" s="32">
        <v>46000</v>
      </c>
      <c r="B86" s="33">
        <v>683.03997802734398</v>
      </c>
      <c r="C86" s="33">
        <v>277.17999267578102</v>
      </c>
      <c r="D86" s="33">
        <v>492.01998901367199</v>
      </c>
      <c r="E86" s="33">
        <v>199.96000671386699</v>
      </c>
      <c r="F86" s="33">
        <v>300.510009765625</v>
      </c>
      <c r="G86" s="33">
        <v>79.639999389648395</v>
      </c>
      <c r="H86" s="33">
        <v>87.970001220703097</v>
      </c>
      <c r="I86" s="33">
        <v>387.39999389648398</v>
      </c>
      <c r="J86" s="33">
        <v>88.849998474121094</v>
      </c>
      <c r="L86" s="34">
        <f t="shared" si="10"/>
        <v>-5.5243554627400545E-3</v>
      </c>
      <c r="N86" s="34">
        <f t="shared" si="11"/>
        <v>-8.6307922597705922E-4</v>
      </c>
      <c r="O86" s="34">
        <f t="shared" si="12"/>
        <v>-2.5550467279482625E-3</v>
      </c>
      <c r="P86" s="34">
        <f t="shared" si="13"/>
        <v>2.0365769670778189E-3</v>
      </c>
      <c r="Q86" s="34">
        <f t="shared" si="14"/>
        <v>-8.2332528693703777E-3</v>
      </c>
      <c r="R86" s="34">
        <f t="shared" si="15"/>
        <v>-4.6635519456711072E-2</v>
      </c>
      <c r="S86" s="34">
        <f t="shared" si="16"/>
        <v>-1.1297375886189287E-2</v>
      </c>
      <c r="T86" s="34">
        <f t="shared" si="17"/>
        <v>1.0241689815437827E-3</v>
      </c>
      <c r="U86" s="34">
        <f t="shared" si="18"/>
        <v>5.1372020127886664E-3</v>
      </c>
      <c r="V86" s="34">
        <f t="shared" si="19"/>
        <v>-3.8121309337173503E-3</v>
      </c>
    </row>
    <row r="87" spans="1:22" ht="15" customHeight="1" x14ac:dyDescent="0.2">
      <c r="A87" s="32">
        <v>46001</v>
      </c>
      <c r="B87" s="33">
        <v>687.57000732421898</v>
      </c>
      <c r="C87" s="33">
        <v>278.77999877929699</v>
      </c>
      <c r="D87" s="33">
        <v>478.55999755859398</v>
      </c>
      <c r="E87" s="33">
        <v>206.53999328613301</v>
      </c>
      <c r="F87" s="33">
        <v>310.10998535156301</v>
      </c>
      <c r="G87" s="33">
        <v>81.269996643066406</v>
      </c>
      <c r="H87" s="33">
        <v>88.309997558593807</v>
      </c>
      <c r="I87" s="33">
        <v>389.04998779296898</v>
      </c>
      <c r="J87" s="33">
        <v>89.169998168945298</v>
      </c>
      <c r="L87" s="34">
        <f t="shared" si="10"/>
        <v>7.0774177404902879E-3</v>
      </c>
      <c r="N87" s="34">
        <f t="shared" si="11"/>
        <v>6.6321583547099827E-3</v>
      </c>
      <c r="O87" s="34">
        <f t="shared" si="12"/>
        <v>5.7724444252638119E-3</v>
      </c>
      <c r="P87" s="34">
        <f t="shared" si="13"/>
        <v>-2.7356594763681463E-2</v>
      </c>
      <c r="Q87" s="34">
        <f t="shared" si="14"/>
        <v>3.2906513059292264E-2</v>
      </c>
      <c r="R87" s="34">
        <f t="shared" si="15"/>
        <v>3.1945610042824368E-2</v>
      </c>
      <c r="S87" s="34">
        <f t="shared" si="16"/>
        <v>2.0467067628203495E-2</v>
      </c>
      <c r="T87" s="34">
        <f t="shared" si="17"/>
        <v>3.8649122788769752E-3</v>
      </c>
      <c r="U87" s="34">
        <f t="shared" si="18"/>
        <v>4.2591479671676424E-3</v>
      </c>
      <c r="V87" s="34">
        <f t="shared" si="19"/>
        <v>3.6015723164859459E-3</v>
      </c>
    </row>
    <row r="88" spans="1:22" ht="15" customHeight="1" x14ac:dyDescent="0.2">
      <c r="A88" s="32">
        <v>46002</v>
      </c>
      <c r="B88" s="33">
        <v>689.16998291015602</v>
      </c>
      <c r="C88" s="33">
        <v>278.02999877929699</v>
      </c>
      <c r="D88" s="33">
        <v>483.47000122070301</v>
      </c>
      <c r="E88" s="33">
        <v>210.00999450683599</v>
      </c>
      <c r="F88" s="33">
        <v>317.38000488281301</v>
      </c>
      <c r="G88" s="33">
        <v>81.209999084472699</v>
      </c>
      <c r="H88" s="33">
        <v>88.190002441406307</v>
      </c>
      <c r="I88" s="33">
        <v>393.239990234375</v>
      </c>
      <c r="J88" s="33">
        <v>89.559997558593807</v>
      </c>
      <c r="L88" s="34">
        <f t="shared" si="10"/>
        <v>6.4177986294056341E-3</v>
      </c>
      <c r="N88" s="34">
        <f t="shared" si="11"/>
        <v>2.3270002601822881E-3</v>
      </c>
      <c r="O88" s="34">
        <f t="shared" si="12"/>
        <v>-2.6902934331158868E-3</v>
      </c>
      <c r="P88" s="34">
        <f t="shared" si="13"/>
        <v>1.0259954210877886E-2</v>
      </c>
      <c r="Q88" s="34">
        <f t="shared" si="14"/>
        <v>1.6800626191053381E-2</v>
      </c>
      <c r="R88" s="34">
        <f t="shared" si="15"/>
        <v>2.3443358403981041E-2</v>
      </c>
      <c r="S88" s="34">
        <f t="shared" si="16"/>
        <v>-7.3824979785852562E-4</v>
      </c>
      <c r="T88" s="34">
        <f t="shared" si="17"/>
        <v>-1.3587942532541364E-3</v>
      </c>
      <c r="U88" s="34">
        <f t="shared" si="18"/>
        <v>1.0769830543307268E-2</v>
      </c>
      <c r="V88" s="34">
        <f t="shared" si="19"/>
        <v>4.3736615190863581E-3</v>
      </c>
    </row>
    <row r="89" spans="1:22" ht="15" customHeight="1" x14ac:dyDescent="0.2">
      <c r="A89" s="32">
        <v>46003</v>
      </c>
      <c r="B89" s="33">
        <v>681.760009765625</v>
      </c>
      <c r="C89" s="33">
        <v>278.27999877929699</v>
      </c>
      <c r="D89" s="33">
        <v>478.52999877929699</v>
      </c>
      <c r="E89" s="33">
        <v>211.580001831055</v>
      </c>
      <c r="F89" s="33">
        <v>318.51998901367199</v>
      </c>
      <c r="G89" s="33">
        <v>81.650001525878906</v>
      </c>
      <c r="H89" s="33">
        <v>87.339996337890597</v>
      </c>
      <c r="I89" s="33">
        <v>395.44000244140602</v>
      </c>
      <c r="J89" s="33">
        <v>89.449996948242202</v>
      </c>
      <c r="L89" s="34">
        <f t="shared" si="10"/>
        <v>-2.4073327190631722E-3</v>
      </c>
      <c r="N89" s="34">
        <f t="shared" si="11"/>
        <v>-1.0752025375860064E-2</v>
      </c>
      <c r="O89" s="34">
        <f t="shared" si="12"/>
        <v>8.9918354529228139E-4</v>
      </c>
      <c r="P89" s="34">
        <f t="shared" si="13"/>
        <v>-1.0217805507959365E-2</v>
      </c>
      <c r="Q89" s="34">
        <f t="shared" si="14"/>
        <v>7.4758695551886412E-3</v>
      </c>
      <c r="R89" s="34">
        <f t="shared" si="15"/>
        <v>3.5918586972103483E-3</v>
      </c>
      <c r="S89" s="34">
        <f t="shared" si="16"/>
        <v>5.4180820880016523E-3</v>
      </c>
      <c r="T89" s="34">
        <f t="shared" si="17"/>
        <v>-9.6383499261206707E-3</v>
      </c>
      <c r="U89" s="34">
        <f t="shared" si="18"/>
        <v>5.594579039938985E-3</v>
      </c>
      <c r="V89" s="34">
        <f t="shared" si="19"/>
        <v>-1.2282337354870831E-3</v>
      </c>
    </row>
    <row r="90" spans="1:22" ht="15" customHeight="1" x14ac:dyDescent="0.2">
      <c r="A90" s="32">
        <v>46006</v>
      </c>
      <c r="B90" s="33">
        <v>680.72998046875</v>
      </c>
      <c r="C90" s="33">
        <v>274.10998535156301</v>
      </c>
      <c r="D90" s="33">
        <v>474.82000732421898</v>
      </c>
      <c r="E90" s="33">
        <v>214.169998168945</v>
      </c>
      <c r="F90" s="33">
        <v>320.01998901367199</v>
      </c>
      <c r="G90" s="33">
        <v>81.650001525878906</v>
      </c>
      <c r="H90" s="33">
        <v>87.400001525878906</v>
      </c>
      <c r="I90" s="33">
        <v>395.79998779296898</v>
      </c>
      <c r="J90" s="33">
        <v>89.730003356933594</v>
      </c>
      <c r="L90" s="34">
        <f t="shared" si="10"/>
        <v>-1.6387890572179228E-3</v>
      </c>
      <c r="N90" s="34">
        <f t="shared" si="11"/>
        <v>-1.5108385386657375E-3</v>
      </c>
      <c r="O90" s="34">
        <f t="shared" si="12"/>
        <v>-1.4984955605958583E-2</v>
      </c>
      <c r="P90" s="34">
        <f t="shared" si="13"/>
        <v>-7.7528921165694875E-3</v>
      </c>
      <c r="Q90" s="34">
        <f t="shared" si="14"/>
        <v>1.2241215216351575E-2</v>
      </c>
      <c r="R90" s="34">
        <f t="shared" si="15"/>
        <v>4.7092805843831353E-3</v>
      </c>
      <c r="S90" s="34">
        <f t="shared" si="16"/>
        <v>0</v>
      </c>
      <c r="T90" s="34">
        <f t="shared" si="17"/>
        <v>6.8702988898894368E-4</v>
      </c>
      <c r="U90" s="34">
        <f t="shared" si="18"/>
        <v>9.103412637578856E-4</v>
      </c>
      <c r="V90" s="34">
        <f t="shared" si="19"/>
        <v>3.1303121100541009E-3</v>
      </c>
    </row>
    <row r="91" spans="1:22" ht="15" customHeight="1" x14ac:dyDescent="0.2">
      <c r="A91" s="32">
        <v>46007</v>
      </c>
      <c r="B91" s="33">
        <v>678.86999511718795</v>
      </c>
      <c r="C91" s="33">
        <v>274.60998535156301</v>
      </c>
      <c r="D91" s="33">
        <v>476.39001464843801</v>
      </c>
      <c r="E91" s="33">
        <v>209.30000305175801</v>
      </c>
      <c r="F91" s="33">
        <v>315.54998779296898</v>
      </c>
      <c r="G91" s="33">
        <v>81.319999694824205</v>
      </c>
      <c r="H91" s="33">
        <v>87.879997253417997</v>
      </c>
      <c r="I91" s="33">
        <v>395.89001464843801</v>
      </c>
      <c r="J91" s="33">
        <v>89.069999694824205</v>
      </c>
      <c r="L91" s="34">
        <f t="shared" si="10"/>
        <v>-3.5643031760626645E-3</v>
      </c>
      <c r="N91" s="34">
        <f t="shared" si="11"/>
        <v>-2.7323394075889906E-3</v>
      </c>
      <c r="O91" s="34">
        <f t="shared" si="12"/>
        <v>1.8240853187405648E-3</v>
      </c>
      <c r="P91" s="34">
        <f t="shared" si="13"/>
        <v>3.3065315277394092E-3</v>
      </c>
      <c r="Q91" s="34">
        <f t="shared" si="14"/>
        <v>-2.2738923092978536E-2</v>
      </c>
      <c r="R91" s="34">
        <f t="shared" si="15"/>
        <v>-1.3967881301664709E-2</v>
      </c>
      <c r="S91" s="34">
        <f t="shared" si="16"/>
        <v>-4.0416635013792446E-3</v>
      </c>
      <c r="T91" s="34">
        <f t="shared" si="17"/>
        <v>5.4919418668084585E-3</v>
      </c>
      <c r="U91" s="34">
        <f t="shared" si="18"/>
        <v>2.2745542760382875E-4</v>
      </c>
      <c r="V91" s="34">
        <f t="shared" si="19"/>
        <v>-7.3554400692930066E-3</v>
      </c>
    </row>
    <row r="92" spans="1:22" ht="15" customHeight="1" x14ac:dyDescent="0.2">
      <c r="A92" s="32">
        <v>46008</v>
      </c>
      <c r="B92" s="33">
        <v>671.40002441406295</v>
      </c>
      <c r="C92" s="33">
        <v>271.83999633789102</v>
      </c>
      <c r="D92" s="33">
        <v>476.11999511718801</v>
      </c>
      <c r="E92" s="33">
        <v>210.330001831055</v>
      </c>
      <c r="F92" s="33">
        <v>314.98001098632801</v>
      </c>
      <c r="G92" s="33">
        <v>80.290000915527301</v>
      </c>
      <c r="H92" s="33">
        <v>87.800003051757798</v>
      </c>
      <c r="I92" s="33">
        <v>399.29000854492199</v>
      </c>
      <c r="J92" s="33">
        <v>89.400001525878906</v>
      </c>
      <c r="L92" s="34">
        <f t="shared" si="10"/>
        <v>-2.9954436168086801E-3</v>
      </c>
      <c r="N92" s="34">
        <f t="shared" si="11"/>
        <v>-1.1003536401451242E-2</v>
      </c>
      <c r="O92" s="34">
        <f t="shared" si="12"/>
        <v>-1.0086993049891357E-2</v>
      </c>
      <c r="P92" s="34">
        <f t="shared" si="13"/>
        <v>-5.668035075194755E-4</v>
      </c>
      <c r="Q92" s="34">
        <f t="shared" si="14"/>
        <v>4.9211598866640838E-3</v>
      </c>
      <c r="R92" s="34">
        <f t="shared" si="15"/>
        <v>-1.8062963989556868E-3</v>
      </c>
      <c r="S92" s="34">
        <f t="shared" si="16"/>
        <v>-1.2665995857873313E-2</v>
      </c>
      <c r="T92" s="34">
        <f t="shared" si="17"/>
        <v>-9.1026631953028403E-4</v>
      </c>
      <c r="U92" s="34">
        <f t="shared" si="18"/>
        <v>8.5882284742728743E-3</v>
      </c>
      <c r="V92" s="34">
        <f t="shared" si="19"/>
        <v>3.7049717321810949E-3</v>
      </c>
    </row>
    <row r="93" spans="1:22" ht="15" customHeight="1" x14ac:dyDescent="0.2">
      <c r="A93" s="32">
        <v>46009</v>
      </c>
      <c r="B93" s="33">
        <v>676.469970703125</v>
      </c>
      <c r="C93" s="33">
        <v>272.19000244140602</v>
      </c>
      <c r="D93" s="33">
        <v>483.98001098632801</v>
      </c>
      <c r="E93" s="33">
        <v>208.30999755859401</v>
      </c>
      <c r="F93" s="33">
        <v>313</v>
      </c>
      <c r="G93" s="33">
        <v>80.849998474121094</v>
      </c>
      <c r="H93" s="33">
        <v>88.220001220703097</v>
      </c>
      <c r="I93" s="33">
        <v>398.57000732421898</v>
      </c>
      <c r="J93" s="33">
        <v>88.930000305175795</v>
      </c>
      <c r="L93" s="34">
        <f t="shared" si="10"/>
        <v>2.4056020565710831E-3</v>
      </c>
      <c r="N93" s="34">
        <f t="shared" si="11"/>
        <v>7.5513048923205872E-3</v>
      </c>
      <c r="O93" s="34">
        <f t="shared" si="12"/>
        <v>1.2875445417530607E-3</v>
      </c>
      <c r="P93" s="34">
        <f t="shared" si="13"/>
        <v>1.6508476749029111E-2</v>
      </c>
      <c r="Q93" s="34">
        <f t="shared" si="14"/>
        <v>-9.6039759182027229E-3</v>
      </c>
      <c r="R93" s="34">
        <f t="shared" si="15"/>
        <v>-6.2861480642146805E-3</v>
      </c>
      <c r="S93" s="34">
        <f t="shared" si="16"/>
        <v>6.974686165254429E-3</v>
      </c>
      <c r="T93" s="34">
        <f t="shared" si="17"/>
        <v>4.7835780677332185E-3</v>
      </c>
      <c r="U93" s="34">
        <f t="shared" si="18"/>
        <v>-1.8032036998041345E-3</v>
      </c>
      <c r="V93" s="34">
        <f t="shared" si="19"/>
        <v>-5.2572842581781742E-3</v>
      </c>
    </row>
    <row r="94" spans="1:22" ht="15" customHeight="1" x14ac:dyDescent="0.2">
      <c r="A94" s="32">
        <v>46010</v>
      </c>
      <c r="B94" s="33">
        <v>680.59002685546898</v>
      </c>
      <c r="C94" s="33">
        <v>273.67001342773398</v>
      </c>
      <c r="D94" s="33">
        <v>485.92001342773398</v>
      </c>
      <c r="E94" s="33">
        <v>206.36999511718801</v>
      </c>
      <c r="F94" s="33">
        <v>317.20999145507801</v>
      </c>
      <c r="G94" s="33">
        <v>79.540000915527301</v>
      </c>
      <c r="H94" s="33">
        <v>87.550003051757798</v>
      </c>
      <c r="I94" s="33">
        <v>399.01998901367199</v>
      </c>
      <c r="J94" s="33">
        <v>88.589996337890597</v>
      </c>
      <c r="L94" s="34">
        <f t="shared" si="10"/>
        <v>1.1866418655848258E-3</v>
      </c>
      <c r="N94" s="34">
        <f t="shared" si="11"/>
        <v>6.0905233502996925E-3</v>
      </c>
      <c r="O94" s="34">
        <f t="shared" si="12"/>
        <v>5.4374186158676618E-3</v>
      </c>
      <c r="P94" s="34">
        <f t="shared" si="13"/>
        <v>4.0084350538616143E-3</v>
      </c>
      <c r="Q94" s="34">
        <f t="shared" si="14"/>
        <v>-9.3130548900337562E-3</v>
      </c>
      <c r="R94" s="34">
        <f t="shared" si="15"/>
        <v>1.3450451933156637E-2</v>
      </c>
      <c r="S94" s="34">
        <f t="shared" si="16"/>
        <v>-1.6202814883331196E-2</v>
      </c>
      <c r="T94" s="34">
        <f t="shared" si="17"/>
        <v>-7.5946288786501448E-3</v>
      </c>
      <c r="U94" s="34">
        <f t="shared" si="18"/>
        <v>1.1289903434379411E-3</v>
      </c>
      <c r="V94" s="34">
        <f t="shared" si="19"/>
        <v>-3.8232763535187564E-3</v>
      </c>
    </row>
    <row r="95" spans="1:22" ht="15" customHeight="1" x14ac:dyDescent="0.2">
      <c r="A95" s="32">
        <v>46013</v>
      </c>
      <c r="B95" s="33">
        <v>684.83001708984398</v>
      </c>
      <c r="C95" s="33">
        <v>270.97000122070301</v>
      </c>
      <c r="D95" s="33">
        <v>484.92001342773398</v>
      </c>
      <c r="E95" s="33">
        <v>207.32000732421901</v>
      </c>
      <c r="F95" s="33">
        <v>323.08999633789102</v>
      </c>
      <c r="G95" s="33">
        <v>80.040000915527301</v>
      </c>
      <c r="H95" s="33">
        <v>87.360000610351605</v>
      </c>
      <c r="I95" s="33">
        <v>408.23001098632801</v>
      </c>
      <c r="J95" s="33">
        <v>88.239997863769503</v>
      </c>
      <c r="L95" s="34">
        <f t="shared" si="10"/>
        <v>3.5857421113558649E-3</v>
      </c>
      <c r="N95" s="34">
        <f t="shared" si="11"/>
        <v>6.2298741783874956E-3</v>
      </c>
      <c r="O95" s="34">
        <f t="shared" si="12"/>
        <v>-9.8659410039599882E-3</v>
      </c>
      <c r="P95" s="34">
        <f t="shared" si="13"/>
        <v>-2.0579518693742971E-3</v>
      </c>
      <c r="Q95" s="34">
        <f t="shared" si="14"/>
        <v>4.6034415346645208E-3</v>
      </c>
      <c r="R95" s="34">
        <f t="shared" si="15"/>
        <v>1.8536632014145571E-2</v>
      </c>
      <c r="S95" s="34">
        <f t="shared" si="16"/>
        <v>6.2861452633249382E-3</v>
      </c>
      <c r="T95" s="34">
        <f t="shared" si="17"/>
        <v>-2.1702162739374309E-3</v>
      </c>
      <c r="U95" s="34">
        <f t="shared" si="18"/>
        <v>2.3081605499067903E-2</v>
      </c>
      <c r="V95" s="34">
        <f t="shared" si="19"/>
        <v>-3.9507674521869207E-3</v>
      </c>
    </row>
    <row r="96" spans="1:22" ht="15" customHeight="1" x14ac:dyDescent="0.2">
      <c r="A96" s="32">
        <v>46014</v>
      </c>
      <c r="B96" s="33">
        <v>687.96002197265602</v>
      </c>
      <c r="C96" s="33">
        <v>272.35998535156301</v>
      </c>
      <c r="D96" s="33">
        <v>486.85000610351602</v>
      </c>
      <c r="E96" s="33">
        <v>205.77999877929699</v>
      </c>
      <c r="F96" s="33">
        <v>325.92999267578102</v>
      </c>
      <c r="G96" s="33">
        <v>79.790000915527301</v>
      </c>
      <c r="H96" s="33">
        <v>87.5</v>
      </c>
      <c r="I96" s="33">
        <v>413.64001464843801</v>
      </c>
      <c r="J96" s="33">
        <v>88.180000305175795</v>
      </c>
      <c r="L96" s="34">
        <f t="shared" si="10"/>
        <v>3.5857734101062398E-3</v>
      </c>
      <c r="N96" s="34">
        <f t="shared" si="11"/>
        <v>4.5704843606488854E-3</v>
      </c>
      <c r="O96" s="34">
        <f t="shared" si="12"/>
        <v>5.1296605697981335E-3</v>
      </c>
      <c r="P96" s="34">
        <f t="shared" si="13"/>
        <v>3.9800227302222435E-3</v>
      </c>
      <c r="Q96" s="34">
        <f t="shared" si="14"/>
        <v>-7.4281713800716798E-3</v>
      </c>
      <c r="R96" s="34">
        <f t="shared" si="15"/>
        <v>8.7901091648776575E-3</v>
      </c>
      <c r="S96" s="34">
        <f t="shared" si="16"/>
        <v>-3.1234382451325038E-3</v>
      </c>
      <c r="T96" s="34">
        <f t="shared" si="17"/>
        <v>1.6025571047422194E-3</v>
      </c>
      <c r="U96" s="34">
        <f t="shared" si="18"/>
        <v>1.3252341857569183E-2</v>
      </c>
      <c r="V96" s="34">
        <f t="shared" si="19"/>
        <v>-6.7993608393257521E-4</v>
      </c>
    </row>
    <row r="97" spans="1:22" ht="15" customHeight="1" x14ac:dyDescent="0.2">
      <c r="A97" s="32">
        <v>46015</v>
      </c>
      <c r="B97" s="33">
        <v>690.38000488281295</v>
      </c>
      <c r="C97" s="33">
        <v>273.80999755859398</v>
      </c>
      <c r="D97" s="33">
        <v>488.01998901367199</v>
      </c>
      <c r="E97" s="33">
        <v>207.77999877929699</v>
      </c>
      <c r="F97" s="33">
        <v>329.17001342773398</v>
      </c>
      <c r="G97" s="33">
        <v>80.449996948242202</v>
      </c>
      <c r="H97" s="33">
        <v>88.029998779296903</v>
      </c>
      <c r="I97" s="33">
        <v>411.92999267578102</v>
      </c>
      <c r="J97" s="33">
        <v>88.760002136230497</v>
      </c>
      <c r="L97" s="34">
        <f t="shared" si="10"/>
        <v>4.808814383289936E-3</v>
      </c>
      <c r="N97" s="34">
        <f t="shared" si="11"/>
        <v>3.5176214211078971E-3</v>
      </c>
      <c r="O97" s="34">
        <f t="shared" si="12"/>
        <v>5.3238812050870887E-3</v>
      </c>
      <c r="P97" s="34">
        <f t="shared" si="13"/>
        <v>2.4031691393411325E-3</v>
      </c>
      <c r="Q97" s="34">
        <f t="shared" si="14"/>
        <v>9.7191175617852288E-3</v>
      </c>
      <c r="R97" s="34">
        <f t="shared" si="15"/>
        <v>9.9408487244558863E-3</v>
      </c>
      <c r="S97" s="34">
        <f t="shared" si="16"/>
        <v>8.2716634307804515E-3</v>
      </c>
      <c r="T97" s="34">
        <f t="shared" si="17"/>
        <v>6.0571289062503197E-3</v>
      </c>
      <c r="U97" s="34">
        <f t="shared" si="18"/>
        <v>-4.1340825647885326E-3</v>
      </c>
      <c r="V97" s="34">
        <f t="shared" si="19"/>
        <v>6.577475947464384E-3</v>
      </c>
    </row>
    <row r="98" spans="1:22" ht="15" customHeight="1" x14ac:dyDescent="0.2">
      <c r="A98" s="32">
        <v>46017</v>
      </c>
      <c r="B98" s="33">
        <v>690.30999755859398</v>
      </c>
      <c r="C98" s="33">
        <v>273.39999389648398</v>
      </c>
      <c r="D98" s="33">
        <v>487.70999145507801</v>
      </c>
      <c r="E98" s="33">
        <v>207.63000488281301</v>
      </c>
      <c r="F98" s="33">
        <v>327.91000366210898</v>
      </c>
      <c r="G98" s="33">
        <v>80.410003662109403</v>
      </c>
      <c r="H98" s="33">
        <v>87.739997863769503</v>
      </c>
      <c r="I98" s="33">
        <v>416.739990234375</v>
      </c>
      <c r="J98" s="33">
        <v>88.860000610351605</v>
      </c>
      <c r="L98" s="34">
        <f t="shared" si="10"/>
        <v>1.4351926349847813E-4</v>
      </c>
      <c r="N98" s="34">
        <f t="shared" si="11"/>
        <v>-1.0140404374958667E-4</v>
      </c>
      <c r="O98" s="34">
        <f t="shared" si="12"/>
        <v>-1.4974020881843852E-3</v>
      </c>
      <c r="P98" s="34">
        <f t="shared" si="13"/>
        <v>-6.3521487966200496E-4</v>
      </c>
      <c r="Q98" s="34">
        <f t="shared" si="14"/>
        <v>-7.2188804199246892E-4</v>
      </c>
      <c r="R98" s="34">
        <f t="shared" si="15"/>
        <v>-3.8278388499127791E-3</v>
      </c>
      <c r="S98" s="34">
        <f t="shared" si="16"/>
        <v>-4.9711979676680951E-4</v>
      </c>
      <c r="T98" s="34">
        <f t="shared" si="17"/>
        <v>-3.2943419237625449E-3</v>
      </c>
      <c r="U98" s="34">
        <f t="shared" si="18"/>
        <v>1.1676735474757782E-2</v>
      </c>
      <c r="V98" s="34">
        <f t="shared" si="19"/>
        <v>1.1266164005678814E-3</v>
      </c>
    </row>
    <row r="99" spans="1:22" ht="15" customHeight="1" x14ac:dyDescent="0.2">
      <c r="A99" s="32">
        <v>46020</v>
      </c>
      <c r="B99" s="33">
        <v>687.84997558593795</v>
      </c>
      <c r="C99" s="33">
        <v>273.760009765625</v>
      </c>
      <c r="D99" s="33">
        <v>487.10000610351602</v>
      </c>
      <c r="E99" s="33">
        <v>207.55999755859401</v>
      </c>
      <c r="F99" s="33">
        <v>323.75</v>
      </c>
      <c r="G99" s="33">
        <v>80.269996643066406</v>
      </c>
      <c r="H99" s="33">
        <v>88.069999694824205</v>
      </c>
      <c r="I99" s="33">
        <v>398.60000610351602</v>
      </c>
      <c r="J99" s="33">
        <v>89.040000915527301</v>
      </c>
      <c r="L99" s="34">
        <f t="shared" si="10"/>
        <v>-5.7889965942286891E-3</v>
      </c>
      <c r="N99" s="34">
        <f t="shared" si="11"/>
        <v>-3.5636481890112259E-3</v>
      </c>
      <c r="O99" s="34">
        <f t="shared" si="12"/>
        <v>1.3168100847775754E-3</v>
      </c>
      <c r="P99" s="34">
        <f t="shared" si="13"/>
        <v>-1.2507132563392975E-3</v>
      </c>
      <c r="Q99" s="34">
        <f t="shared" si="14"/>
        <v>-3.3717344590211695E-4</v>
      </c>
      <c r="R99" s="34">
        <f t="shared" si="15"/>
        <v>-1.2686418882162598E-2</v>
      </c>
      <c r="S99" s="34">
        <f t="shared" si="16"/>
        <v>-1.7411641918501086E-3</v>
      </c>
      <c r="T99" s="34">
        <f t="shared" si="17"/>
        <v>3.7611333381508683E-3</v>
      </c>
      <c r="U99" s="34">
        <f t="shared" si="18"/>
        <v>-4.3528301953112414E-2</v>
      </c>
      <c r="V99" s="34">
        <f t="shared" si="19"/>
        <v>2.0256617593892301E-3</v>
      </c>
    </row>
    <row r="100" spans="1:22" ht="15" customHeight="1" x14ac:dyDescent="0.2">
      <c r="A100" s="32">
        <v>46021</v>
      </c>
      <c r="B100" s="33">
        <v>687.010009765625</v>
      </c>
      <c r="C100" s="33">
        <v>273.07998657226602</v>
      </c>
      <c r="D100" s="33">
        <v>487.48001098632801</v>
      </c>
      <c r="E100" s="33">
        <v>206.91000366210901</v>
      </c>
      <c r="F100" s="33">
        <v>323.42001342773398</v>
      </c>
      <c r="G100" s="33">
        <v>80.529998779296903</v>
      </c>
      <c r="H100" s="33">
        <v>87.860000610351605</v>
      </c>
      <c r="I100" s="33">
        <v>398.89001464843801</v>
      </c>
      <c r="J100" s="33">
        <v>89.220001220703097</v>
      </c>
      <c r="L100" s="34">
        <f t="shared" si="10"/>
        <v>-8.5680467728034007E-4</v>
      </c>
      <c r="N100" s="34">
        <f t="shared" si="11"/>
        <v>-1.2211468345222354E-3</v>
      </c>
      <c r="O100" s="34">
        <f t="shared" si="12"/>
        <v>-2.4840121606555243E-3</v>
      </c>
      <c r="P100" s="34">
        <f t="shared" si="13"/>
        <v>7.8013729839954138E-4</v>
      </c>
      <c r="Q100" s="34">
        <f t="shared" si="14"/>
        <v>-3.1315952212878084E-3</v>
      </c>
      <c r="R100" s="34">
        <f t="shared" si="15"/>
        <v>-1.0192635436788722E-3</v>
      </c>
      <c r="S100" s="34">
        <f t="shared" si="16"/>
        <v>3.2390948935334674E-3</v>
      </c>
      <c r="T100" s="34">
        <f t="shared" si="17"/>
        <v>-2.3844565141396545E-3</v>
      </c>
      <c r="U100" s="34">
        <f t="shared" si="18"/>
        <v>7.2756783863847652E-4</v>
      </c>
      <c r="V100" s="34">
        <f t="shared" si="19"/>
        <v>2.0215667489329459E-3</v>
      </c>
    </row>
    <row r="101" spans="1:22" ht="15" customHeight="1" x14ac:dyDescent="0.2">
      <c r="A101" s="32">
        <v>46022</v>
      </c>
      <c r="B101" s="33">
        <v>681.91998291015602</v>
      </c>
      <c r="C101" s="33">
        <v>271.85998535156301</v>
      </c>
      <c r="D101" s="33">
        <v>483.61999511718801</v>
      </c>
      <c r="E101" s="33">
        <v>206.94999694824199</v>
      </c>
      <c r="F101" s="33">
        <v>322.22000122070301</v>
      </c>
      <c r="G101" s="33">
        <v>80.279998779296903</v>
      </c>
      <c r="H101" s="33">
        <v>87.160003662109403</v>
      </c>
      <c r="I101" s="33">
        <v>396.30999755859398</v>
      </c>
      <c r="J101" s="33">
        <v>88.489997863769503</v>
      </c>
      <c r="L101" s="34">
        <f t="shared" si="10"/>
        <v>-5.6967771933862012E-3</v>
      </c>
      <c r="N101" s="34">
        <f t="shared" si="11"/>
        <v>-7.4089558858181359E-3</v>
      </c>
      <c r="O101" s="34">
        <f t="shared" si="12"/>
        <v>-4.4675599849576253E-3</v>
      </c>
      <c r="P101" s="34">
        <f t="shared" si="13"/>
        <v>-7.9183059451606308E-3</v>
      </c>
      <c r="Q101" s="34">
        <f t="shared" si="14"/>
        <v>1.9328831581422179E-4</v>
      </c>
      <c r="R101" s="34">
        <f t="shared" si="15"/>
        <v>-3.7103832700788875E-3</v>
      </c>
      <c r="S101" s="34">
        <f t="shared" si="16"/>
        <v>-3.1044331775684775E-3</v>
      </c>
      <c r="T101" s="34">
        <f t="shared" si="17"/>
        <v>-7.9671857885205144E-3</v>
      </c>
      <c r="U101" s="34">
        <f t="shared" si="18"/>
        <v>-6.4679911632231635E-3</v>
      </c>
      <c r="V101" s="34">
        <f t="shared" si="19"/>
        <v>-8.1820594815705805E-3</v>
      </c>
    </row>
    <row r="102" spans="1:22" ht="15" customHeight="1" x14ac:dyDescent="0.2">
      <c r="A102" s="32">
        <v>46024</v>
      </c>
      <c r="B102" s="33">
        <v>683.16998291015602</v>
      </c>
      <c r="C102" s="33">
        <v>271.010009765625</v>
      </c>
      <c r="D102" s="33">
        <v>472.94000244140602</v>
      </c>
      <c r="E102" s="33">
        <v>207.35000610351599</v>
      </c>
      <c r="F102" s="33">
        <v>325.48001098632801</v>
      </c>
      <c r="G102" s="33">
        <v>80.930000305175795</v>
      </c>
      <c r="H102" s="33">
        <v>87.029998779296903</v>
      </c>
      <c r="I102" s="33">
        <v>398.27999877929699</v>
      </c>
      <c r="J102" s="33">
        <v>88.519996643066406</v>
      </c>
      <c r="L102" s="34">
        <f t="shared" si="10"/>
        <v>-1.1058777528153607E-3</v>
      </c>
      <c r="N102" s="34">
        <f t="shared" si="11"/>
        <v>1.8330596423725698E-3</v>
      </c>
      <c r="O102" s="34">
        <f t="shared" si="12"/>
        <v>-3.1265196488510227E-3</v>
      </c>
      <c r="P102" s="34">
        <f t="shared" si="13"/>
        <v>-2.2083439029840113E-2</v>
      </c>
      <c r="Q102" s="34">
        <f t="shared" si="14"/>
        <v>1.932878285444195E-3</v>
      </c>
      <c r="R102" s="34">
        <f t="shared" si="15"/>
        <v>1.0117341422862358E-2</v>
      </c>
      <c r="S102" s="34">
        <f t="shared" si="16"/>
        <v>8.0966808141820223E-3</v>
      </c>
      <c r="T102" s="34">
        <f t="shared" si="17"/>
        <v>-1.4915658254959219E-3</v>
      </c>
      <c r="U102" s="34">
        <f t="shared" si="18"/>
        <v>4.9708592587593969E-3</v>
      </c>
      <c r="V102" s="34">
        <f t="shared" si="19"/>
        <v>3.3900757171556606E-4</v>
      </c>
    </row>
    <row r="103" spans="1:22" ht="15" customHeight="1" x14ac:dyDescent="0.2">
      <c r="A103" s="32">
        <v>46027</v>
      </c>
      <c r="B103" s="33">
        <v>687.719970703125</v>
      </c>
      <c r="C103" s="33">
        <v>267.260009765625</v>
      </c>
      <c r="D103" s="33">
        <v>472.85000610351602</v>
      </c>
      <c r="E103" s="33">
        <v>204.30999755859401</v>
      </c>
      <c r="F103" s="33">
        <v>334.04000854492199</v>
      </c>
      <c r="G103" s="33">
        <v>81.319999694824205</v>
      </c>
      <c r="H103" s="33">
        <v>87.459999084472699</v>
      </c>
      <c r="I103" s="33">
        <v>408.760009765625</v>
      </c>
      <c r="J103" s="33">
        <v>88.720001220703097</v>
      </c>
      <c r="L103" s="34">
        <f t="shared" si="10"/>
        <v>3.3943744676643191E-3</v>
      </c>
      <c r="N103" s="34">
        <f t="shared" si="11"/>
        <v>6.6601108169113132E-3</v>
      </c>
      <c r="O103" s="34">
        <f t="shared" si="12"/>
        <v>-1.3837127282653072E-2</v>
      </c>
      <c r="P103" s="34">
        <f t="shared" si="13"/>
        <v>-1.9029123657421376E-4</v>
      </c>
      <c r="Q103" s="34">
        <f t="shared" si="14"/>
        <v>-1.4661241646669265E-2</v>
      </c>
      <c r="R103" s="34">
        <f t="shared" si="15"/>
        <v>2.6299610635546866E-2</v>
      </c>
      <c r="S103" s="34">
        <f t="shared" si="16"/>
        <v>4.8189718049891361E-3</v>
      </c>
      <c r="T103" s="34">
        <f t="shared" si="17"/>
        <v>4.9408285787324591E-3</v>
      </c>
      <c r="U103" s="34">
        <f t="shared" si="18"/>
        <v>2.6313174195160549E-2</v>
      </c>
      <c r="V103" s="34">
        <f t="shared" si="19"/>
        <v>2.2594282108161501E-3</v>
      </c>
    </row>
    <row r="104" spans="1:22" ht="15" customHeight="1" x14ac:dyDescent="0.2">
      <c r="A104" s="32">
        <v>46028</v>
      </c>
      <c r="B104" s="33">
        <v>691.80999755859398</v>
      </c>
      <c r="C104" s="33">
        <v>262.35998535156301</v>
      </c>
      <c r="D104" s="33">
        <v>478.510009765625</v>
      </c>
      <c r="E104" s="33">
        <v>204.78999328613301</v>
      </c>
      <c r="F104" s="33">
        <v>334.60998535156301</v>
      </c>
      <c r="G104" s="33">
        <v>81.050003051757798</v>
      </c>
      <c r="H104" s="33">
        <v>87.279998779296903</v>
      </c>
      <c r="I104" s="33">
        <v>413.17999267578102</v>
      </c>
      <c r="J104" s="33">
        <v>89.370002746582003</v>
      </c>
      <c r="L104" s="34">
        <f t="shared" si="10"/>
        <v>1.323720645789227E-3</v>
      </c>
      <c r="N104" s="34">
        <f t="shared" si="11"/>
        <v>5.9472271123481857E-3</v>
      </c>
      <c r="O104" s="34">
        <f t="shared" si="12"/>
        <v>-1.8334297070328964E-2</v>
      </c>
      <c r="P104" s="34">
        <f t="shared" si="13"/>
        <v>1.1969976925134906E-2</v>
      </c>
      <c r="Q104" s="34">
        <f t="shared" si="14"/>
        <v>2.3493501702056552E-3</v>
      </c>
      <c r="R104" s="34">
        <f t="shared" si="15"/>
        <v>1.7063129926377929E-3</v>
      </c>
      <c r="S104" s="34">
        <f t="shared" si="16"/>
        <v>-3.3201751608417096E-3</v>
      </c>
      <c r="T104" s="34">
        <f t="shared" si="17"/>
        <v>-2.0580872062661015E-3</v>
      </c>
      <c r="U104" s="34">
        <f t="shared" si="18"/>
        <v>1.081314904726205E-2</v>
      </c>
      <c r="V104" s="34">
        <f t="shared" si="19"/>
        <v>7.3264372963874891E-3</v>
      </c>
    </row>
    <row r="105" spans="1:22" ht="15" customHeight="1" x14ac:dyDescent="0.2">
      <c r="A105" s="32">
        <v>46029</v>
      </c>
      <c r="B105" s="33">
        <v>689.58001708984398</v>
      </c>
      <c r="C105" s="33">
        <v>260.32998657226602</v>
      </c>
      <c r="D105" s="33">
        <v>483.47000122070301</v>
      </c>
      <c r="E105" s="33">
        <v>207.49000549316401</v>
      </c>
      <c r="F105" s="33">
        <v>326.989990234375</v>
      </c>
      <c r="G105" s="33">
        <v>78.370002746582003</v>
      </c>
      <c r="H105" s="33">
        <v>87.790000915527301</v>
      </c>
      <c r="I105" s="33">
        <v>409.23001098632801</v>
      </c>
      <c r="J105" s="33">
        <v>88.5</v>
      </c>
      <c r="L105" s="34">
        <f t="shared" si="10"/>
        <v>-3.7405199905510885E-3</v>
      </c>
      <c r="N105" s="34">
        <f t="shared" si="11"/>
        <v>-3.2234001772446508E-3</v>
      </c>
      <c r="O105" s="34">
        <f t="shared" si="12"/>
        <v>-7.7374557578846481E-3</v>
      </c>
      <c r="P105" s="34">
        <f t="shared" si="13"/>
        <v>1.036549153382893E-2</v>
      </c>
      <c r="Q105" s="34">
        <f t="shared" si="14"/>
        <v>1.3184297551387392E-2</v>
      </c>
      <c r="R105" s="34">
        <f t="shared" si="15"/>
        <v>-2.2772766656027787E-2</v>
      </c>
      <c r="S105" s="34">
        <f t="shared" si="16"/>
        <v>-3.3066011156895003E-2</v>
      </c>
      <c r="T105" s="34">
        <f t="shared" si="17"/>
        <v>5.8432876187364258E-3</v>
      </c>
      <c r="U105" s="34">
        <f t="shared" si="18"/>
        <v>-9.5599539171117298E-3</v>
      </c>
      <c r="V105" s="34">
        <f t="shared" si="19"/>
        <v>-9.7348407725686981E-3</v>
      </c>
    </row>
    <row r="106" spans="1:22" ht="15" customHeight="1" x14ac:dyDescent="0.2">
      <c r="A106" s="32">
        <v>46030</v>
      </c>
      <c r="B106" s="33">
        <v>689.510009765625</v>
      </c>
      <c r="C106" s="33">
        <v>259.04000854492199</v>
      </c>
      <c r="D106" s="33">
        <v>478.10998535156301</v>
      </c>
      <c r="E106" s="33">
        <v>205.75</v>
      </c>
      <c r="F106" s="33">
        <v>329.79000854492199</v>
      </c>
      <c r="G106" s="33">
        <v>79.489997863769503</v>
      </c>
      <c r="H106" s="33">
        <v>87.349998474121094</v>
      </c>
      <c r="I106" s="33">
        <v>411.489990234375</v>
      </c>
      <c r="J106" s="33">
        <v>89.290000915527301</v>
      </c>
      <c r="L106" s="34">
        <f t="shared" si="10"/>
        <v>-1.0405010143682799E-3</v>
      </c>
      <c r="N106" s="34">
        <f t="shared" si="11"/>
        <v>-1.0152168346533319E-4</v>
      </c>
      <c r="O106" s="34">
        <f t="shared" si="12"/>
        <v>-4.9551649594002933E-3</v>
      </c>
      <c r="P106" s="34">
        <f t="shared" si="13"/>
        <v>-1.1086553158637824E-2</v>
      </c>
      <c r="Q106" s="34">
        <f t="shared" si="14"/>
        <v>-8.3859725630077708E-3</v>
      </c>
      <c r="R106" s="34">
        <f t="shared" si="15"/>
        <v>8.5630092485096121E-3</v>
      </c>
      <c r="S106" s="34">
        <f t="shared" si="16"/>
        <v>1.4291120045116346E-2</v>
      </c>
      <c r="T106" s="34">
        <f t="shared" si="17"/>
        <v>-5.0119881172980829E-3</v>
      </c>
      <c r="U106" s="34">
        <f t="shared" si="18"/>
        <v>5.5225159137277657E-3</v>
      </c>
      <c r="V106" s="34">
        <f t="shared" si="19"/>
        <v>8.9265640172575544E-3</v>
      </c>
    </row>
    <row r="107" spans="1:22" ht="15" customHeight="1" x14ac:dyDescent="0.2">
      <c r="A107" s="32">
        <v>46031</v>
      </c>
      <c r="B107" s="33">
        <v>694.07000732421898</v>
      </c>
      <c r="C107" s="33">
        <v>259.36999511718801</v>
      </c>
      <c r="D107" s="33">
        <v>479.27999877929699</v>
      </c>
      <c r="E107" s="33">
        <v>204.38999938964801</v>
      </c>
      <c r="F107" s="33">
        <v>329.19000244140602</v>
      </c>
      <c r="G107" s="33">
        <v>79.889999389648395</v>
      </c>
      <c r="H107" s="33">
        <v>87.930000305175795</v>
      </c>
      <c r="I107" s="33">
        <v>414.47000122070301</v>
      </c>
      <c r="J107" s="33">
        <v>89.470001220703097</v>
      </c>
      <c r="L107" s="34">
        <f t="shared" si="10"/>
        <v>2.7313077974544225E-3</v>
      </c>
      <c r="N107" s="34">
        <f t="shared" si="11"/>
        <v>6.6133884845906987E-3</v>
      </c>
      <c r="O107" s="34">
        <f t="shared" si="12"/>
        <v>1.2738826489375743E-3</v>
      </c>
      <c r="P107" s="34">
        <f t="shared" si="13"/>
        <v>2.4471637564182913E-3</v>
      </c>
      <c r="Q107" s="34">
        <f t="shared" si="14"/>
        <v>-6.6099665144689901E-3</v>
      </c>
      <c r="R107" s="34">
        <f t="shared" si="15"/>
        <v>-1.8193580398728759E-3</v>
      </c>
      <c r="S107" s="34">
        <f t="shared" si="16"/>
        <v>5.0320988379495279E-3</v>
      </c>
      <c r="T107" s="34">
        <f t="shared" si="17"/>
        <v>6.6399752854779948E-3</v>
      </c>
      <c r="U107" s="34">
        <f t="shared" si="18"/>
        <v>7.2420011593250511E-3</v>
      </c>
      <c r="V107" s="34">
        <f t="shared" si="19"/>
        <v>2.0159066337794851E-3</v>
      </c>
    </row>
    <row r="108" spans="1:22" ht="15" customHeight="1" x14ac:dyDescent="0.2">
      <c r="A108" s="32">
        <v>46034</v>
      </c>
      <c r="B108" s="33">
        <v>695.15997314453102</v>
      </c>
      <c r="C108" s="33">
        <v>260.25</v>
      </c>
      <c r="D108" s="33">
        <v>477.17999267578102</v>
      </c>
      <c r="E108" s="33">
        <v>209.72000122070301</v>
      </c>
      <c r="F108" s="33">
        <v>324.489990234375</v>
      </c>
      <c r="G108" s="33">
        <v>81.120002746582003</v>
      </c>
      <c r="H108" s="33">
        <v>87.669998168945298</v>
      </c>
      <c r="I108" s="33">
        <v>422.23001098632801</v>
      </c>
      <c r="J108" s="33">
        <v>89.589996337890597</v>
      </c>
      <c r="L108" s="34">
        <f t="shared" si="10"/>
        <v>4.1000432130131673E-3</v>
      </c>
      <c r="N108" s="34">
        <f t="shared" si="11"/>
        <v>1.5703975230310085E-3</v>
      </c>
      <c r="O108" s="34">
        <f t="shared" si="12"/>
        <v>3.3928553779491999E-3</v>
      </c>
      <c r="P108" s="34">
        <f t="shared" si="13"/>
        <v>-4.3815851044578524E-3</v>
      </c>
      <c r="Q108" s="34">
        <f t="shared" si="14"/>
        <v>2.607760578781515E-2</v>
      </c>
      <c r="R108" s="34">
        <f t="shared" si="15"/>
        <v>-1.4277505915045507E-2</v>
      </c>
      <c r="S108" s="34">
        <f t="shared" si="16"/>
        <v>1.5396211870455812E-2</v>
      </c>
      <c r="T108" s="34">
        <f t="shared" si="17"/>
        <v>-2.9569218165371725E-3</v>
      </c>
      <c r="U108" s="34">
        <f t="shared" si="18"/>
        <v>1.8722729613168898E-2</v>
      </c>
      <c r="V108" s="34">
        <f t="shared" si="19"/>
        <v>1.341177104619673E-3</v>
      </c>
    </row>
    <row r="109" spans="1:22" ht="15" customHeight="1" x14ac:dyDescent="0.2">
      <c r="A109" s="32">
        <v>46035</v>
      </c>
      <c r="B109" s="33">
        <v>693.77001953125</v>
      </c>
      <c r="C109" s="33">
        <v>261.04998779296898</v>
      </c>
      <c r="D109" s="33">
        <v>470.67001342773398</v>
      </c>
      <c r="E109" s="33">
        <v>213.64999389648401</v>
      </c>
      <c r="F109" s="33">
        <v>310.89999389648398</v>
      </c>
      <c r="G109" s="33">
        <v>81.639999389648395</v>
      </c>
      <c r="H109" s="33">
        <v>87.819999694824205</v>
      </c>
      <c r="I109" s="33">
        <v>421.63000488281301</v>
      </c>
      <c r="J109" s="33">
        <v>90.089996337890597</v>
      </c>
      <c r="L109" s="34">
        <f t="shared" si="10"/>
        <v>-2.7097399789041865E-3</v>
      </c>
      <c r="N109" s="34">
        <f t="shared" si="11"/>
        <v>-1.99947302344472E-3</v>
      </c>
      <c r="O109" s="34">
        <f t="shared" si="12"/>
        <v>3.0739204340786142E-3</v>
      </c>
      <c r="P109" s="34">
        <f t="shared" si="13"/>
        <v>-1.3642607292779441E-2</v>
      </c>
      <c r="Q109" s="34">
        <f t="shared" si="14"/>
        <v>1.8739236376625668E-2</v>
      </c>
      <c r="R109" s="34">
        <f t="shared" si="15"/>
        <v>-4.1881095709840332E-2</v>
      </c>
      <c r="S109" s="34">
        <f t="shared" si="16"/>
        <v>6.4102148108999835E-3</v>
      </c>
      <c r="T109" s="34">
        <f t="shared" si="17"/>
        <v>1.7109790009330883E-3</v>
      </c>
      <c r="U109" s="34">
        <f t="shared" si="18"/>
        <v>-1.4210408732278079E-3</v>
      </c>
      <c r="V109" s="34">
        <f t="shared" si="19"/>
        <v>5.580980248221401E-3</v>
      </c>
    </row>
    <row r="110" spans="1:22" ht="15" customHeight="1" x14ac:dyDescent="0.2">
      <c r="A110" s="32">
        <v>46036</v>
      </c>
      <c r="B110" s="33">
        <v>690.35998535156295</v>
      </c>
      <c r="C110" s="33">
        <v>259.95999145507801</v>
      </c>
      <c r="D110" s="33">
        <v>459.38000488281301</v>
      </c>
      <c r="E110" s="33">
        <v>218.55000305175801</v>
      </c>
      <c r="F110" s="33">
        <v>307.86999511718801</v>
      </c>
      <c r="G110" s="33">
        <v>81.980003356933594</v>
      </c>
      <c r="H110" s="33">
        <v>88.330001831054702</v>
      </c>
      <c r="I110" s="33">
        <v>425.94000244140602</v>
      </c>
      <c r="J110" s="33">
        <v>90.870002746582003</v>
      </c>
      <c r="L110" s="34">
        <f t="shared" si="10"/>
        <v>-6.8885608276320076E-4</v>
      </c>
      <c r="N110" s="34">
        <f t="shared" si="11"/>
        <v>-4.9152227448384656E-3</v>
      </c>
      <c r="O110" s="34">
        <f t="shared" si="12"/>
        <v>-4.175431483855907E-3</v>
      </c>
      <c r="P110" s="34">
        <f t="shared" si="13"/>
        <v>-2.3987099714935289E-2</v>
      </c>
      <c r="Q110" s="34">
        <f t="shared" si="14"/>
        <v>2.293474980227761E-2</v>
      </c>
      <c r="R110" s="34">
        <f t="shared" si="15"/>
        <v>-9.7458952678680655E-3</v>
      </c>
      <c r="S110" s="34">
        <f t="shared" si="16"/>
        <v>4.1646738097391722E-3</v>
      </c>
      <c r="T110" s="34">
        <f t="shared" si="17"/>
        <v>5.8073575267907351E-3</v>
      </c>
      <c r="U110" s="34">
        <f t="shared" si="18"/>
        <v>1.0222226854540217E-2</v>
      </c>
      <c r="V110" s="34">
        <f t="shared" si="19"/>
        <v>8.6580801465006019E-3</v>
      </c>
    </row>
    <row r="111" spans="1:22" ht="15" customHeight="1" x14ac:dyDescent="0.2">
      <c r="A111" s="32">
        <v>46037</v>
      </c>
      <c r="B111" s="33">
        <v>692.239990234375</v>
      </c>
      <c r="C111" s="33">
        <v>258.20999145507801</v>
      </c>
      <c r="D111" s="33">
        <v>456.66000366210898</v>
      </c>
      <c r="E111" s="33">
        <v>219.57000732421901</v>
      </c>
      <c r="F111" s="33">
        <v>309.260009765625</v>
      </c>
      <c r="G111" s="33">
        <v>82.190002441406307</v>
      </c>
      <c r="H111" s="33">
        <v>88.309997558593807</v>
      </c>
      <c r="I111" s="33">
        <v>423.32998657226602</v>
      </c>
      <c r="J111" s="33">
        <v>91.5</v>
      </c>
      <c r="L111" s="34">
        <f t="shared" si="10"/>
        <v>-4.664762565761251E-4</v>
      </c>
      <c r="N111" s="34">
        <f t="shared" si="11"/>
        <v>2.7232240029884114E-3</v>
      </c>
      <c r="O111" s="34">
        <f t="shared" si="12"/>
        <v>-6.7318051143359092E-3</v>
      </c>
      <c r="P111" s="34">
        <f t="shared" si="13"/>
        <v>-5.9210265832051467E-3</v>
      </c>
      <c r="Q111" s="34">
        <f t="shared" si="14"/>
        <v>4.6671437118188663E-3</v>
      </c>
      <c r="R111" s="34">
        <f t="shared" si="15"/>
        <v>4.51494030104449E-3</v>
      </c>
      <c r="S111" s="34">
        <f t="shared" si="16"/>
        <v>2.5615891177559469E-3</v>
      </c>
      <c r="T111" s="34">
        <f t="shared" si="17"/>
        <v>-2.2647200324021899E-4</v>
      </c>
      <c r="U111" s="34">
        <f t="shared" si="18"/>
        <v>-6.1276608305862457E-3</v>
      </c>
      <c r="V111" s="34">
        <f t="shared" si="19"/>
        <v>6.9329507469579887E-3</v>
      </c>
    </row>
    <row r="112" spans="1:22" ht="15" customHeight="1" x14ac:dyDescent="0.2">
      <c r="A112" s="32">
        <v>46038</v>
      </c>
      <c r="B112" s="33">
        <v>691.65997314453102</v>
      </c>
      <c r="C112" s="33">
        <v>255.52999877929699</v>
      </c>
      <c r="D112" s="33">
        <v>459.85998535156301</v>
      </c>
      <c r="E112" s="33">
        <v>218.66000366210901</v>
      </c>
      <c r="F112" s="33">
        <v>312.47000122070301</v>
      </c>
      <c r="G112" s="33">
        <v>83.629997253417997</v>
      </c>
      <c r="H112" s="33">
        <v>87.800003051757798</v>
      </c>
      <c r="I112" s="33">
        <v>421.29000854492199</v>
      </c>
      <c r="J112" s="33">
        <v>92.620002746582003</v>
      </c>
      <c r="L112" s="34">
        <f t="shared" si="10"/>
        <v>5.1424503266300596E-5</v>
      </c>
      <c r="N112" s="34">
        <f t="shared" si="11"/>
        <v>-8.3788440140186715E-4</v>
      </c>
      <c r="O112" s="34">
        <f t="shared" si="12"/>
        <v>-1.0379120733007285E-2</v>
      </c>
      <c r="P112" s="34">
        <f t="shared" si="13"/>
        <v>7.0073614150403252E-3</v>
      </c>
      <c r="Q112" s="34">
        <f t="shared" si="14"/>
        <v>-4.1444807202938305E-3</v>
      </c>
      <c r="R112" s="34">
        <f t="shared" si="15"/>
        <v>1.0379587899226772E-2</v>
      </c>
      <c r="S112" s="34">
        <f t="shared" si="16"/>
        <v>1.7520315965901867E-2</v>
      </c>
      <c r="T112" s="34">
        <f t="shared" si="17"/>
        <v>-5.7750483629854799E-3</v>
      </c>
      <c r="U112" s="34">
        <f t="shared" si="18"/>
        <v>-4.8188838307011705E-3</v>
      </c>
      <c r="V112" s="34">
        <f t="shared" si="19"/>
        <v>1.2240467175759662E-2</v>
      </c>
    </row>
    <row r="113" spans="1:22" ht="15" customHeight="1" x14ac:dyDescent="0.2">
      <c r="A113" s="32">
        <v>46042</v>
      </c>
      <c r="B113" s="33">
        <v>677.58001708984398</v>
      </c>
      <c r="C113" s="33">
        <v>246.69999694824199</v>
      </c>
      <c r="D113" s="33">
        <v>454.51998901367199</v>
      </c>
      <c r="E113" s="33">
        <v>218.21000671386699</v>
      </c>
      <c r="F113" s="33">
        <v>302.739990234375</v>
      </c>
      <c r="G113" s="33">
        <v>83.510002136230497</v>
      </c>
      <c r="H113" s="33">
        <v>86.650001525878906</v>
      </c>
      <c r="I113" s="33">
        <v>437.23001098632801</v>
      </c>
      <c r="J113" s="33">
        <v>90.900001525878906</v>
      </c>
      <c r="L113" s="34">
        <f t="shared" si="10"/>
        <v>-1.3034548303140363E-2</v>
      </c>
      <c r="N113" s="34">
        <f t="shared" si="11"/>
        <v>-2.035675997076225E-2</v>
      </c>
      <c r="O113" s="34">
        <f t="shared" si="12"/>
        <v>-3.4555636806782641E-2</v>
      </c>
      <c r="P113" s="34">
        <f t="shared" si="13"/>
        <v>-1.1612222215439338E-2</v>
      </c>
      <c r="Q113" s="34">
        <f t="shared" si="14"/>
        <v>-2.0579755817501377E-3</v>
      </c>
      <c r="R113" s="34">
        <f t="shared" si="15"/>
        <v>-3.1139024380953395E-2</v>
      </c>
      <c r="S113" s="34">
        <f t="shared" si="16"/>
        <v>-1.4348334464712176E-3</v>
      </c>
      <c r="T113" s="34">
        <f t="shared" si="17"/>
        <v>-1.3097966809875516E-2</v>
      </c>
      <c r="U113" s="34">
        <f t="shared" si="18"/>
        <v>3.7836174886892282E-2</v>
      </c>
      <c r="V113" s="34">
        <f t="shared" si="19"/>
        <v>-1.8570515760069628E-2</v>
      </c>
    </row>
    <row r="114" spans="1:22" ht="15" customHeight="1" x14ac:dyDescent="0.2">
      <c r="A114" s="32">
        <v>46043</v>
      </c>
      <c r="B114" s="33">
        <v>685.40002441406295</v>
      </c>
      <c r="C114" s="33">
        <v>247.64999389648401</v>
      </c>
      <c r="D114" s="33">
        <v>444.10998535156301</v>
      </c>
      <c r="E114" s="33">
        <v>218.00999450683599</v>
      </c>
      <c r="F114" s="33">
        <v>302.04000854492199</v>
      </c>
      <c r="G114" s="33">
        <v>83.849998474121094</v>
      </c>
      <c r="H114" s="33">
        <v>87.309997558593807</v>
      </c>
      <c r="I114" s="33">
        <v>443.60000610351602</v>
      </c>
      <c r="J114" s="33">
        <v>91.260002136230497</v>
      </c>
      <c r="L114" s="34">
        <f t="shared" si="10"/>
        <v>2.4211718814625095E-3</v>
      </c>
      <c r="N114" s="34">
        <f t="shared" si="11"/>
        <v>1.1541083159160026E-2</v>
      </c>
      <c r="O114" s="34">
        <f t="shared" si="12"/>
        <v>3.8508186461037042E-3</v>
      </c>
      <c r="P114" s="34">
        <f t="shared" si="13"/>
        <v>-2.2903291194517394E-2</v>
      </c>
      <c r="Q114" s="34">
        <f t="shared" si="14"/>
        <v>-9.1660419264483206E-4</v>
      </c>
      <c r="R114" s="34">
        <f t="shared" si="15"/>
        <v>-2.3121546939044446E-3</v>
      </c>
      <c r="S114" s="34">
        <f t="shared" si="16"/>
        <v>4.0713247418668885E-3</v>
      </c>
      <c r="T114" s="34">
        <f t="shared" si="17"/>
        <v>7.6168034748134161E-3</v>
      </c>
      <c r="U114" s="34">
        <f t="shared" si="18"/>
        <v>1.4568979615141808E-2</v>
      </c>
      <c r="V114" s="34">
        <f t="shared" si="19"/>
        <v>3.96040268766229E-3</v>
      </c>
    </row>
    <row r="115" spans="1:22" ht="15" customHeight="1" x14ac:dyDescent="0.2">
      <c r="A115" s="32">
        <v>46044</v>
      </c>
      <c r="B115" s="33">
        <v>688.97998046875</v>
      </c>
      <c r="C115" s="33">
        <v>248.35000610351599</v>
      </c>
      <c r="D115" s="33">
        <v>451.14001464843801</v>
      </c>
      <c r="E115" s="33">
        <v>218.49000549316401</v>
      </c>
      <c r="F115" s="33">
        <v>303.63000488281301</v>
      </c>
      <c r="G115" s="33">
        <v>85.069999694824205</v>
      </c>
      <c r="H115" s="33">
        <v>87.690002441406307</v>
      </c>
      <c r="I115" s="33">
        <v>451.79000854492199</v>
      </c>
      <c r="J115" s="33">
        <v>90.360000610351605</v>
      </c>
      <c r="L115" s="34">
        <f t="shared" si="10"/>
        <v>6.4064673778382875E-3</v>
      </c>
      <c r="N115" s="34">
        <f t="shared" si="11"/>
        <v>5.223163010166898E-3</v>
      </c>
      <c r="O115" s="34">
        <f t="shared" si="12"/>
        <v>2.8266191168355714E-3</v>
      </c>
      <c r="P115" s="34">
        <f t="shared" si="13"/>
        <v>1.582947812197899E-2</v>
      </c>
      <c r="Q115" s="34">
        <f t="shared" si="14"/>
        <v>2.2017843145853977E-3</v>
      </c>
      <c r="R115" s="34">
        <f t="shared" si="15"/>
        <v>5.2641911432556032E-3</v>
      </c>
      <c r="S115" s="34">
        <f t="shared" si="16"/>
        <v>1.4549806116927355E-2</v>
      </c>
      <c r="T115" s="34">
        <f t="shared" si="17"/>
        <v>4.3523639152260873E-3</v>
      </c>
      <c r="U115" s="34">
        <f t="shared" si="18"/>
        <v>1.8462584149502526E-2</v>
      </c>
      <c r="V115" s="34">
        <f t="shared" si="19"/>
        <v>-9.8619494281338982E-3</v>
      </c>
    </row>
    <row r="116" spans="1:22" ht="15" customHeight="1" x14ac:dyDescent="0.2">
      <c r="A116" s="32">
        <v>46045</v>
      </c>
      <c r="B116" s="33">
        <v>689.22998046875</v>
      </c>
      <c r="C116" s="33">
        <v>248.03999328613301</v>
      </c>
      <c r="D116" s="33">
        <v>465.95001220703102</v>
      </c>
      <c r="E116" s="33">
        <v>220.13999938964801</v>
      </c>
      <c r="F116" s="33">
        <v>297.72000122070301</v>
      </c>
      <c r="G116" s="33">
        <v>84.809997558593807</v>
      </c>
      <c r="H116" s="33">
        <v>87.930000305175795</v>
      </c>
      <c r="I116" s="33">
        <v>458</v>
      </c>
      <c r="J116" s="33">
        <v>90.540000915527301</v>
      </c>
      <c r="L116" s="34">
        <f t="shared" si="10"/>
        <v>4.7332070391547468E-3</v>
      </c>
      <c r="N116" s="34">
        <f t="shared" si="11"/>
        <v>3.6285524556167736E-4</v>
      </c>
      <c r="O116" s="34">
        <f t="shared" si="12"/>
        <v>-1.2482899527441749E-3</v>
      </c>
      <c r="P116" s="34">
        <f t="shared" si="13"/>
        <v>3.2827940501207964E-2</v>
      </c>
      <c r="Q116" s="34">
        <f t="shared" si="14"/>
        <v>7.5518049109830621E-3</v>
      </c>
      <c r="R116" s="34">
        <f t="shared" si="15"/>
        <v>-1.9464491542563356E-2</v>
      </c>
      <c r="S116" s="34">
        <f t="shared" si="16"/>
        <v>-3.0563316934655305E-3</v>
      </c>
      <c r="T116" s="34">
        <f t="shared" si="17"/>
        <v>2.7368896919561791E-3</v>
      </c>
      <c r="U116" s="34">
        <f t="shared" si="18"/>
        <v>1.3745304981574336E-2</v>
      </c>
      <c r="V116" s="34">
        <f t="shared" si="19"/>
        <v>1.992035236386247E-3</v>
      </c>
    </row>
    <row r="117" spans="1:22" ht="15" customHeight="1" x14ac:dyDescent="0.2">
      <c r="A117" s="32">
        <v>46048</v>
      </c>
      <c r="B117" s="33">
        <v>692.72998046875</v>
      </c>
      <c r="C117" s="33">
        <v>255.41000366210901</v>
      </c>
      <c r="D117" s="33">
        <v>470.27999877929699</v>
      </c>
      <c r="E117" s="33">
        <v>221.49000549316401</v>
      </c>
      <c r="F117" s="33">
        <v>301.04000854492199</v>
      </c>
      <c r="G117" s="33">
        <v>85.470001220703097</v>
      </c>
      <c r="H117" s="33">
        <v>88.349998474121094</v>
      </c>
      <c r="I117" s="33">
        <v>464.70001220703102</v>
      </c>
      <c r="J117" s="33">
        <v>90.419998168945298</v>
      </c>
      <c r="L117" s="34">
        <f t="shared" si="10"/>
        <v>1.091444915811174E-2</v>
      </c>
      <c r="N117" s="34">
        <f t="shared" si="11"/>
        <v>5.0781308114595802E-3</v>
      </c>
      <c r="O117" s="34">
        <f t="shared" si="12"/>
        <v>2.97129921603978E-2</v>
      </c>
      <c r="P117" s="34">
        <f t="shared" si="13"/>
        <v>9.2928135182492877E-3</v>
      </c>
      <c r="Q117" s="34">
        <f t="shared" si="14"/>
        <v>6.1324889036928898E-3</v>
      </c>
      <c r="R117" s="34">
        <f t="shared" si="15"/>
        <v>1.1151441994512901E-2</v>
      </c>
      <c r="S117" s="34">
        <f t="shared" si="16"/>
        <v>7.7821445714969517E-3</v>
      </c>
      <c r="T117" s="34">
        <f t="shared" si="17"/>
        <v>4.7765059420861178E-3</v>
      </c>
      <c r="U117" s="34">
        <f t="shared" si="18"/>
        <v>1.4628847613604945E-2</v>
      </c>
      <c r="V117" s="34">
        <f t="shared" si="19"/>
        <v>-1.3254113692130476E-3</v>
      </c>
    </row>
    <row r="118" spans="1:22" ht="15" customHeight="1" x14ac:dyDescent="0.2">
      <c r="A118" s="32">
        <v>46049</v>
      </c>
      <c r="B118" s="33">
        <v>695.489990234375</v>
      </c>
      <c r="C118" s="33">
        <v>258.26998901367199</v>
      </c>
      <c r="D118" s="33">
        <v>480.57998657226602</v>
      </c>
      <c r="E118" s="33">
        <v>224.44000244140599</v>
      </c>
      <c r="F118" s="33">
        <v>300.30999755859398</v>
      </c>
      <c r="G118" s="33">
        <v>87.150001525878906</v>
      </c>
      <c r="H118" s="33">
        <v>87.800003051757798</v>
      </c>
      <c r="I118" s="33">
        <v>476.10000610351602</v>
      </c>
      <c r="J118" s="33">
        <v>90.389999389648395</v>
      </c>
      <c r="L118" s="34">
        <f t="shared" si="10"/>
        <v>9.2078741671743018E-3</v>
      </c>
      <c r="N118" s="34">
        <f t="shared" si="11"/>
        <v>3.9842504921721034E-3</v>
      </c>
      <c r="O118" s="34">
        <f t="shared" si="12"/>
        <v>1.1197624644908366E-2</v>
      </c>
      <c r="P118" s="34">
        <f t="shared" si="13"/>
        <v>2.19018198088472E-2</v>
      </c>
      <c r="Q118" s="34">
        <f t="shared" si="14"/>
        <v>1.3318871619844019E-2</v>
      </c>
      <c r="R118" s="34">
        <f t="shared" si="15"/>
        <v>-2.4249633457577024E-3</v>
      </c>
      <c r="S118" s="34">
        <f t="shared" si="16"/>
        <v>1.9656022945848228E-2</v>
      </c>
      <c r="T118" s="34">
        <f t="shared" si="17"/>
        <v>-6.225188815644378E-3</v>
      </c>
      <c r="U118" s="34">
        <f t="shared" si="18"/>
        <v>2.4531942321977196E-2</v>
      </c>
      <c r="V118" s="34">
        <f t="shared" si="19"/>
        <v>-3.3177150967034219E-4</v>
      </c>
    </row>
    <row r="119" spans="1:22" ht="15" customHeight="1" x14ac:dyDescent="0.2">
      <c r="A119" s="32">
        <v>46050</v>
      </c>
      <c r="B119" s="33">
        <v>695.41998291015602</v>
      </c>
      <c r="C119" s="33">
        <v>256.44000244140602</v>
      </c>
      <c r="D119" s="33">
        <v>481.63000488281301</v>
      </c>
      <c r="E119" s="33">
        <v>227.72000122070301</v>
      </c>
      <c r="F119" s="33">
        <v>300.76998901367199</v>
      </c>
      <c r="G119" s="33">
        <v>87.569999694824205</v>
      </c>
      <c r="H119" s="33">
        <v>87.599998474121094</v>
      </c>
      <c r="I119" s="33">
        <v>494.55999755859398</v>
      </c>
      <c r="J119" s="33">
        <v>89.459999084472699</v>
      </c>
      <c r="L119" s="34">
        <f t="shared" si="10"/>
        <v>3.9296457408410984E-3</v>
      </c>
      <c r="N119" s="34">
        <f t="shared" si="11"/>
        <v>-1.0065899610633977E-4</v>
      </c>
      <c r="O119" s="34">
        <f t="shared" si="12"/>
        <v>-7.0855563948976075E-3</v>
      </c>
      <c r="P119" s="34">
        <f t="shared" si="13"/>
        <v>2.1848981228624886E-3</v>
      </c>
      <c r="Q119" s="34">
        <f t="shared" si="14"/>
        <v>1.461414517741022E-2</v>
      </c>
      <c r="R119" s="34">
        <f t="shared" si="15"/>
        <v>1.5317220832391509E-3</v>
      </c>
      <c r="S119" s="34">
        <f t="shared" si="16"/>
        <v>4.8192560136741669E-3</v>
      </c>
      <c r="T119" s="34">
        <f t="shared" si="17"/>
        <v>-2.2779563859331997E-3</v>
      </c>
      <c r="U119" s="34">
        <f t="shared" si="18"/>
        <v>3.877334849490488E-2</v>
      </c>
      <c r="V119" s="34">
        <f t="shared" si="19"/>
        <v>-1.0288752201078166E-2</v>
      </c>
    </row>
    <row r="120" spans="1:22" ht="15" customHeight="1" x14ac:dyDescent="0.2">
      <c r="A120" s="32">
        <v>46051</v>
      </c>
      <c r="B120" s="33">
        <v>694.03997802734398</v>
      </c>
      <c r="C120" s="33">
        <v>258.27999877929699</v>
      </c>
      <c r="D120" s="33">
        <v>433.5</v>
      </c>
      <c r="E120" s="33">
        <v>227.28999328613301</v>
      </c>
      <c r="F120" s="33">
        <v>306.42001342773398</v>
      </c>
      <c r="G120" s="33">
        <v>88.180000305175795</v>
      </c>
      <c r="H120" s="33">
        <v>87.620002746582003</v>
      </c>
      <c r="I120" s="33">
        <v>495.89999389648398</v>
      </c>
      <c r="J120" s="33">
        <v>90.709999084472699</v>
      </c>
      <c r="L120" s="34">
        <f t="shared" si="10"/>
        <v>-8.6732619232366345E-3</v>
      </c>
      <c r="N120" s="34">
        <f t="shared" si="11"/>
        <v>-1.98441936775684E-3</v>
      </c>
      <c r="O120" s="34">
        <f t="shared" si="12"/>
        <v>7.175153331670181E-3</v>
      </c>
      <c r="P120" s="34">
        <f t="shared" si="13"/>
        <v>-9.993149179840588E-2</v>
      </c>
      <c r="Q120" s="34">
        <f t="shared" si="14"/>
        <v>-1.8883186907822092E-3</v>
      </c>
      <c r="R120" s="34">
        <f t="shared" si="15"/>
        <v>1.878520005466755E-2</v>
      </c>
      <c r="S120" s="34">
        <f t="shared" si="16"/>
        <v>6.9658628808655365E-3</v>
      </c>
      <c r="T120" s="34">
        <f t="shared" si="17"/>
        <v>2.2835927864561789E-4</v>
      </c>
      <c r="U120" s="34">
        <f t="shared" si="18"/>
        <v>2.7094717415578895E-3</v>
      </c>
      <c r="V120" s="34">
        <f t="shared" si="19"/>
        <v>1.3972725383326834E-2</v>
      </c>
    </row>
    <row r="121" spans="1:22" ht="15" customHeight="1" x14ac:dyDescent="0.2">
      <c r="A121" s="32">
        <v>46052</v>
      </c>
      <c r="B121" s="33">
        <v>691.969970703125</v>
      </c>
      <c r="C121" s="33">
        <v>259.48001098632801</v>
      </c>
      <c r="D121" s="33">
        <v>430.29000854492199</v>
      </c>
      <c r="E121" s="33">
        <v>227.25</v>
      </c>
      <c r="F121" s="33">
        <v>305.89001464843801</v>
      </c>
      <c r="G121" s="33">
        <v>87.900001525878906</v>
      </c>
      <c r="H121" s="33">
        <v>87.129997253417997</v>
      </c>
      <c r="I121" s="33">
        <v>444.95001220703102</v>
      </c>
      <c r="J121" s="33">
        <v>90.800003051757798</v>
      </c>
      <c r="L121" s="34">
        <f t="shared" si="10"/>
        <v>-1.2046310501719929E-2</v>
      </c>
      <c r="N121" s="34">
        <f t="shared" si="11"/>
        <v>-2.9825476770121151E-3</v>
      </c>
      <c r="O121" s="34">
        <f t="shared" si="12"/>
        <v>4.6461677741311824E-3</v>
      </c>
      <c r="P121" s="34">
        <f t="shared" si="13"/>
        <v>-7.4048245791880074E-3</v>
      </c>
      <c r="Q121" s="34">
        <f t="shared" si="14"/>
        <v>-1.7595709144424543E-4</v>
      </c>
      <c r="R121" s="34">
        <f t="shared" si="15"/>
        <v>-1.7296480519245483E-3</v>
      </c>
      <c r="S121" s="34">
        <f t="shared" si="16"/>
        <v>-3.1753093482406181E-3</v>
      </c>
      <c r="T121" s="34">
        <f t="shared" si="17"/>
        <v>-5.592393035882659E-3</v>
      </c>
      <c r="U121" s="34">
        <f t="shared" si="18"/>
        <v>-0.10274245274560023</v>
      </c>
      <c r="V121" s="34">
        <f t="shared" si="19"/>
        <v>9.9221660449244631E-4</v>
      </c>
    </row>
    <row r="122" spans="1:22" ht="15" customHeight="1" x14ac:dyDescent="0.2">
      <c r="A122" s="32">
        <v>46055</v>
      </c>
      <c r="B122" s="33">
        <v>695.40997314453102</v>
      </c>
      <c r="C122" s="33">
        <v>270.010009765625</v>
      </c>
      <c r="D122" s="33">
        <v>423.36999511718801</v>
      </c>
      <c r="E122" s="33">
        <v>230.75</v>
      </c>
      <c r="F122" s="33">
        <v>308.14001464843801</v>
      </c>
      <c r="G122" s="33">
        <v>86.330001831054702</v>
      </c>
      <c r="H122" s="33">
        <v>86.550003051757798</v>
      </c>
      <c r="I122" s="33">
        <v>427.13000488281301</v>
      </c>
      <c r="J122" s="33">
        <v>89.860000610351605</v>
      </c>
      <c r="L122" s="34">
        <f t="shared" si="10"/>
        <v>1.612538954673467E-3</v>
      </c>
      <c r="N122" s="34">
        <f t="shared" si="11"/>
        <v>4.9713175239534113E-3</v>
      </c>
      <c r="O122" s="34">
        <f t="shared" si="12"/>
        <v>4.0581155902031263E-2</v>
      </c>
      <c r="P122" s="34">
        <f t="shared" si="13"/>
        <v>-1.6082208023223354E-2</v>
      </c>
      <c r="Q122" s="34">
        <f t="shared" si="14"/>
        <v>1.5401540154015292E-2</v>
      </c>
      <c r="R122" s="34">
        <f t="shared" si="15"/>
        <v>7.3555849888919944E-3</v>
      </c>
      <c r="S122" s="34">
        <f t="shared" si="16"/>
        <v>-1.7861202133904075E-2</v>
      </c>
      <c r="T122" s="34">
        <f t="shared" si="17"/>
        <v>-6.6566535056036269E-3</v>
      </c>
      <c r="U122" s="34">
        <f t="shared" si="18"/>
        <v>-4.0049459119750552E-2</v>
      </c>
      <c r="V122" s="34">
        <f t="shared" si="19"/>
        <v>-1.0352449447279977E-2</v>
      </c>
    </row>
    <row r="123" spans="1:22" ht="15" customHeight="1" x14ac:dyDescent="0.2">
      <c r="A123" s="32">
        <v>46056</v>
      </c>
      <c r="B123" s="33">
        <v>689.530029296875</v>
      </c>
      <c r="C123" s="33">
        <v>269.48001098632801</v>
      </c>
      <c r="D123" s="33">
        <v>411.20999145507801</v>
      </c>
      <c r="E123" s="33">
        <v>233.10000610351599</v>
      </c>
      <c r="F123" s="33">
        <v>314.85000610351602</v>
      </c>
      <c r="G123" s="33">
        <v>88.819999694824205</v>
      </c>
      <c r="H123" s="33">
        <v>86.760002136230497</v>
      </c>
      <c r="I123" s="33">
        <v>454.29000854492199</v>
      </c>
      <c r="J123" s="33">
        <v>89.660003662109403</v>
      </c>
      <c r="L123" s="34">
        <f t="shared" si="10"/>
        <v>5.2460304807294272E-3</v>
      </c>
      <c r="N123" s="34">
        <f t="shared" si="11"/>
        <v>-8.4553631307124899E-3</v>
      </c>
      <c r="O123" s="34">
        <f t="shared" si="12"/>
        <v>-1.9628856713758136E-3</v>
      </c>
      <c r="P123" s="34">
        <f t="shared" si="13"/>
        <v>-2.8721930704475485E-2</v>
      </c>
      <c r="Q123" s="34">
        <f t="shared" si="14"/>
        <v>1.0184208465941369E-2</v>
      </c>
      <c r="R123" s="34">
        <f t="shared" si="15"/>
        <v>2.1775787421616011E-2</v>
      </c>
      <c r="S123" s="34">
        <f t="shared" si="16"/>
        <v>2.8842787107109746E-2</v>
      </c>
      <c r="T123" s="34">
        <f t="shared" si="17"/>
        <v>2.4263324906772521E-3</v>
      </c>
      <c r="U123" s="34">
        <f t="shared" si="18"/>
        <v>6.358720612371993E-2</v>
      </c>
      <c r="V123" s="34">
        <f t="shared" si="19"/>
        <v>-2.2256504215866224E-3</v>
      </c>
    </row>
    <row r="124" spans="1:22" ht="15" customHeight="1" x14ac:dyDescent="0.2">
      <c r="A124" s="32">
        <v>46057</v>
      </c>
      <c r="B124" s="33">
        <v>686.19000244140602</v>
      </c>
      <c r="C124" s="33">
        <v>276.489990234375</v>
      </c>
      <c r="D124" s="33">
        <v>414.19000244140602</v>
      </c>
      <c r="E124" s="33">
        <v>234.47000122070301</v>
      </c>
      <c r="F124" s="33">
        <v>317.26998901367199</v>
      </c>
      <c r="G124" s="33">
        <v>89.970001220703097</v>
      </c>
      <c r="H124" s="33">
        <v>86.540000915527301</v>
      </c>
      <c r="I124" s="33">
        <v>453.97000122070301</v>
      </c>
      <c r="J124" s="33">
        <v>90.949996948242202</v>
      </c>
      <c r="L124" s="34">
        <f t="shared" si="10"/>
        <v>6.822355735030137E-3</v>
      </c>
      <c r="N124" s="34">
        <f t="shared" si="11"/>
        <v>-4.8439179057579995E-3</v>
      </c>
      <c r="O124" s="34">
        <f t="shared" si="12"/>
        <v>2.6012984125945549E-2</v>
      </c>
      <c r="P124" s="34">
        <f t="shared" si="13"/>
        <v>7.2469323417536646E-3</v>
      </c>
      <c r="Q124" s="34">
        <f t="shared" si="14"/>
        <v>5.8772847761257019E-3</v>
      </c>
      <c r="R124" s="34">
        <f t="shared" si="15"/>
        <v>7.6861453493519694E-3</v>
      </c>
      <c r="S124" s="34">
        <f t="shared" si="16"/>
        <v>1.294755156305083E-2</v>
      </c>
      <c r="T124" s="34">
        <f t="shared" si="17"/>
        <v>-2.5357447589472448E-3</v>
      </c>
      <c r="U124" s="34">
        <f t="shared" si="18"/>
        <v>-7.0441197957216151E-4</v>
      </c>
      <c r="V124" s="34">
        <f t="shared" si="19"/>
        <v>1.4387611347800533E-2</v>
      </c>
    </row>
    <row r="125" spans="1:22" ht="15" customHeight="1" x14ac:dyDescent="0.2">
      <c r="A125" s="32">
        <v>46058</v>
      </c>
      <c r="B125" s="33">
        <v>677.61999511718795</v>
      </c>
      <c r="C125" s="33">
        <v>275.91000366210898</v>
      </c>
      <c r="D125" s="33">
        <v>393.67001342773398</v>
      </c>
      <c r="E125" s="33">
        <v>237.78999328613301</v>
      </c>
      <c r="F125" s="33">
        <v>310.16000366210898</v>
      </c>
      <c r="G125" s="33">
        <v>89.209999084472699</v>
      </c>
      <c r="H125" s="33">
        <v>87.480003356933594</v>
      </c>
      <c r="I125" s="33">
        <v>441.88000488281301</v>
      </c>
      <c r="J125" s="33">
        <v>90.819999694824205</v>
      </c>
      <c r="L125" s="34">
        <f t="shared" si="10"/>
        <v>-1.1593978906287135E-2</v>
      </c>
      <c r="N125" s="34">
        <f t="shared" si="11"/>
        <v>-1.24892628772304E-2</v>
      </c>
      <c r="O125" s="34">
        <f t="shared" si="12"/>
        <v>-2.0976765624476368E-3</v>
      </c>
      <c r="P125" s="34">
        <f t="shared" si="13"/>
        <v>-4.9542453687242083E-2</v>
      </c>
      <c r="Q125" s="34">
        <f t="shared" si="14"/>
        <v>1.4159560063741194E-2</v>
      </c>
      <c r="R125" s="34">
        <f t="shared" si="15"/>
        <v>-2.2409889361633351E-2</v>
      </c>
      <c r="S125" s="34">
        <f t="shared" si="16"/>
        <v>-8.4472838270398531E-3</v>
      </c>
      <c r="T125" s="34">
        <f t="shared" si="17"/>
        <v>1.0862057215874632E-2</v>
      </c>
      <c r="U125" s="34">
        <f t="shared" si="18"/>
        <v>-2.663170761367617E-2</v>
      </c>
      <c r="V125" s="34">
        <f t="shared" si="19"/>
        <v>-1.4293266385921877E-3</v>
      </c>
    </row>
    <row r="126" spans="1:22" ht="15" customHeight="1" x14ac:dyDescent="0.2">
      <c r="A126" s="32">
        <v>46059</v>
      </c>
      <c r="B126" s="33">
        <v>690.61999511718795</v>
      </c>
      <c r="C126" s="33">
        <v>278.11999511718801</v>
      </c>
      <c r="D126" s="33">
        <v>401.14001464843801</v>
      </c>
      <c r="E126" s="33">
        <v>239.99000549316401</v>
      </c>
      <c r="F126" s="33">
        <v>322.39999389648398</v>
      </c>
      <c r="G126" s="33">
        <v>89.470001220703097</v>
      </c>
      <c r="H126" s="33">
        <v>87.540000915527301</v>
      </c>
      <c r="I126" s="33">
        <v>455.45999145507801</v>
      </c>
      <c r="J126" s="33">
        <v>92.25</v>
      </c>
      <c r="L126" s="34">
        <f t="shared" si="10"/>
        <v>1.6432092550847942E-2</v>
      </c>
      <c r="N126" s="34">
        <f t="shared" si="11"/>
        <v>1.9184793975496106E-2</v>
      </c>
      <c r="O126" s="34">
        <f t="shared" si="12"/>
        <v>8.0098272108519719E-3</v>
      </c>
      <c r="P126" s="34">
        <f t="shared" si="13"/>
        <v>1.8975286320799034E-2</v>
      </c>
      <c r="Q126" s="34">
        <f t="shared" si="14"/>
        <v>9.251912482220126E-3</v>
      </c>
      <c r="R126" s="34">
        <f t="shared" si="15"/>
        <v>3.9463470756562646E-2</v>
      </c>
      <c r="S126" s="34">
        <f t="shared" si="16"/>
        <v>2.9144954478050877E-3</v>
      </c>
      <c r="T126" s="34">
        <f t="shared" si="17"/>
        <v>6.8584312175778983E-4</v>
      </c>
      <c r="U126" s="34">
        <f t="shared" si="18"/>
        <v>3.0732294790904557E-2</v>
      </c>
      <c r="V126" s="34">
        <f t="shared" si="19"/>
        <v>1.574543393504646E-2</v>
      </c>
    </row>
    <row r="127" spans="1:22" ht="15" customHeight="1" x14ac:dyDescent="0.2">
      <c r="A127" s="32">
        <v>46062</v>
      </c>
      <c r="B127" s="33">
        <v>693.95001220703102</v>
      </c>
      <c r="C127" s="33">
        <v>274.61999511718801</v>
      </c>
      <c r="D127" s="33">
        <v>413.60000610351602</v>
      </c>
      <c r="E127" s="33">
        <v>238.63999938964801</v>
      </c>
      <c r="F127" s="33">
        <v>322.10000610351602</v>
      </c>
      <c r="G127" s="33">
        <v>89.480003356933594</v>
      </c>
      <c r="H127" s="33">
        <v>87.519996643066406</v>
      </c>
      <c r="I127" s="33">
        <v>467.02999877929699</v>
      </c>
      <c r="J127" s="33">
        <v>92.639999389648395</v>
      </c>
      <c r="L127" s="34">
        <f t="shared" si="10"/>
        <v>4.9810720335532466E-3</v>
      </c>
      <c r="N127" s="34">
        <f t="shared" si="11"/>
        <v>4.8217791453866177E-3</v>
      </c>
      <c r="O127" s="34">
        <f t="shared" si="12"/>
        <v>-1.258449612198953E-2</v>
      </c>
      <c r="P127" s="34">
        <f t="shared" si="13"/>
        <v>3.1061452360961805E-2</v>
      </c>
      <c r="Q127" s="34">
        <f t="shared" si="14"/>
        <v>-5.6252596883850092E-3</v>
      </c>
      <c r="R127" s="34">
        <f t="shared" si="15"/>
        <v>-9.3048324642419633E-4</v>
      </c>
      <c r="S127" s="34">
        <f t="shared" si="16"/>
        <v>1.1179318312315445E-4</v>
      </c>
      <c r="T127" s="34">
        <f t="shared" si="17"/>
        <v>-2.2851578994387278E-4</v>
      </c>
      <c r="U127" s="34">
        <f t="shared" si="18"/>
        <v>2.5402905944067244E-2</v>
      </c>
      <c r="V127" s="34">
        <f t="shared" si="19"/>
        <v>4.2276356601451681E-3</v>
      </c>
    </row>
    <row r="128" spans="1:22" ht="15" customHeight="1" x14ac:dyDescent="0.2">
      <c r="A128" s="32">
        <v>46063</v>
      </c>
      <c r="B128" s="33">
        <v>692.11999511718795</v>
      </c>
      <c r="C128" s="33">
        <v>273.67999267578102</v>
      </c>
      <c r="D128" s="33">
        <v>413.26998901367199</v>
      </c>
      <c r="E128" s="33">
        <v>238.35000610351599</v>
      </c>
      <c r="F128" s="33">
        <v>318.27999877929699</v>
      </c>
      <c r="G128" s="33">
        <v>90.830001831054702</v>
      </c>
      <c r="H128" s="33">
        <v>88.529998779296903</v>
      </c>
      <c r="I128" s="33">
        <v>462.39999389648398</v>
      </c>
      <c r="J128" s="33">
        <v>93.879997253417997</v>
      </c>
      <c r="L128" s="34">
        <f t="shared" si="10"/>
        <v>-5.7664618922908292E-4</v>
      </c>
      <c r="N128" s="34">
        <f t="shared" si="11"/>
        <v>-2.6371021797707561E-3</v>
      </c>
      <c r="O128" s="34">
        <f t="shared" si="12"/>
        <v>-3.4229206107365684E-3</v>
      </c>
      <c r="P128" s="34">
        <f t="shared" si="13"/>
        <v>-7.9791364838965873E-4</v>
      </c>
      <c r="Q128" s="34">
        <f t="shared" si="14"/>
        <v>-1.2151914468392366E-3</v>
      </c>
      <c r="R128" s="34">
        <f t="shared" si="15"/>
        <v>-1.1859693423884488E-2</v>
      </c>
      <c r="S128" s="34">
        <f t="shared" si="16"/>
        <v>1.5087152698642692E-2</v>
      </c>
      <c r="T128" s="34">
        <f t="shared" si="17"/>
        <v>1.1540244229551355E-2</v>
      </c>
      <c r="U128" s="34">
        <f t="shared" si="18"/>
        <v>-9.9137205209830492E-3</v>
      </c>
      <c r="V128" s="34">
        <f t="shared" si="19"/>
        <v>1.3385123833540957E-2</v>
      </c>
    </row>
    <row r="129" spans="1:22" ht="15" customHeight="1" x14ac:dyDescent="0.2">
      <c r="A129" s="32">
        <v>46064</v>
      </c>
      <c r="B129" s="33">
        <v>691.96002197265602</v>
      </c>
      <c r="C129" s="33">
        <v>275.5</v>
      </c>
      <c r="D129" s="33">
        <v>404.36999511718801</v>
      </c>
      <c r="E129" s="33">
        <v>240.86000061035199</v>
      </c>
      <c r="F129" s="33">
        <v>310.82000732421898</v>
      </c>
      <c r="G129" s="33">
        <v>91.360000610351605</v>
      </c>
      <c r="H129" s="33">
        <v>88.059997558593807</v>
      </c>
      <c r="I129" s="33">
        <v>467.63000488281301</v>
      </c>
      <c r="J129" s="33">
        <v>93.360000610351605</v>
      </c>
      <c r="L129" s="34">
        <f t="shared" si="10"/>
        <v>-2.2289168105913402E-3</v>
      </c>
      <c r="N129" s="34">
        <f t="shared" si="11"/>
        <v>-2.3113498477222993E-4</v>
      </c>
      <c r="O129" s="34">
        <f t="shared" si="12"/>
        <v>6.6501292492180397E-3</v>
      </c>
      <c r="P129" s="34">
        <f t="shared" si="13"/>
        <v>-2.1535543671402535E-2</v>
      </c>
      <c r="Q129" s="34">
        <f t="shared" si="14"/>
        <v>1.053070880034257E-2</v>
      </c>
      <c r="R129" s="34">
        <f t="shared" si="15"/>
        <v>-2.3438455082598342E-2</v>
      </c>
      <c r="S129" s="34">
        <f t="shared" si="16"/>
        <v>5.8350629595131931E-3</v>
      </c>
      <c r="T129" s="34">
        <f t="shared" si="17"/>
        <v>-5.3089486861374047E-3</v>
      </c>
      <c r="U129" s="34">
        <f t="shared" si="18"/>
        <v>1.131057754187581E-2</v>
      </c>
      <c r="V129" s="34">
        <f t="shared" si="19"/>
        <v>-5.5389503438386667E-3</v>
      </c>
    </row>
    <row r="130" spans="1:22" ht="15" customHeight="1" x14ac:dyDescent="0.2">
      <c r="A130" s="32">
        <v>46065</v>
      </c>
      <c r="B130" s="33">
        <v>681.27001953125</v>
      </c>
      <c r="C130" s="33">
        <v>261.73001098632801</v>
      </c>
      <c r="D130" s="33">
        <v>401.83999633789102</v>
      </c>
      <c r="E130" s="33">
        <v>244.55000305175801</v>
      </c>
      <c r="F130" s="33">
        <v>302.64001464843801</v>
      </c>
      <c r="G130" s="33">
        <v>91.930000305175795</v>
      </c>
      <c r="H130" s="33">
        <v>89.230003356933594</v>
      </c>
      <c r="I130" s="33">
        <v>451.39001464843801</v>
      </c>
      <c r="J130" s="33">
        <v>93.25</v>
      </c>
      <c r="L130" s="34">
        <f t="shared" si="10"/>
        <v>-1.4773037998193371E-2</v>
      </c>
      <c r="N130" s="34">
        <f t="shared" si="11"/>
        <v>-1.544887291455177E-2</v>
      </c>
      <c r="O130" s="34">
        <f t="shared" si="12"/>
        <v>-4.9981811301894719E-2</v>
      </c>
      <c r="P130" s="34">
        <f t="shared" si="13"/>
        <v>-6.2566431976828207E-3</v>
      </c>
      <c r="Q130" s="34">
        <f t="shared" si="14"/>
        <v>1.5320113061759288E-2</v>
      </c>
      <c r="R130" s="34">
        <f t="shared" si="15"/>
        <v>-2.6317458603134058E-2</v>
      </c>
      <c r="S130" s="34">
        <f t="shared" si="16"/>
        <v>6.23905090867094E-3</v>
      </c>
      <c r="T130" s="34">
        <f t="shared" si="17"/>
        <v>1.3286461853025733E-2</v>
      </c>
      <c r="U130" s="34">
        <f t="shared" si="18"/>
        <v>-3.4728289598193518E-2</v>
      </c>
      <c r="V130" s="34">
        <f t="shared" si="19"/>
        <v>-1.1782413199706854E-3</v>
      </c>
    </row>
    <row r="131" spans="1:22" ht="15" customHeight="1" x14ac:dyDescent="0.2">
      <c r="A131" s="32">
        <v>46066</v>
      </c>
      <c r="B131" s="33">
        <v>681.75</v>
      </c>
      <c r="C131" s="33">
        <v>255.77999877929699</v>
      </c>
      <c r="D131" s="33">
        <v>401.32000732421898</v>
      </c>
      <c r="E131" s="33">
        <v>243.44999694824199</v>
      </c>
      <c r="F131" s="33">
        <v>302.54998779296898</v>
      </c>
      <c r="G131" s="33">
        <v>93.800003051757798</v>
      </c>
      <c r="H131" s="33">
        <v>89.720001220703097</v>
      </c>
      <c r="I131" s="33">
        <v>462.61999511718801</v>
      </c>
      <c r="J131" s="33">
        <v>94.589996337890597</v>
      </c>
      <c r="L131" s="34">
        <f t="shared" si="10"/>
        <v>7.446199425304586E-4</v>
      </c>
      <c r="N131" s="34">
        <f t="shared" si="11"/>
        <v>7.045377823615695E-4</v>
      </c>
      <c r="O131" s="34">
        <f t="shared" si="12"/>
        <v>-2.2733396848945375E-2</v>
      </c>
      <c r="P131" s="34">
        <f t="shared" si="13"/>
        <v>-1.2940200537798763E-3</v>
      </c>
      <c r="Q131" s="34">
        <f t="shared" si="14"/>
        <v>-4.4980825589407969E-3</v>
      </c>
      <c r="R131" s="34">
        <f t="shared" si="15"/>
        <v>-2.9747175228500566E-4</v>
      </c>
      <c r="S131" s="34">
        <f t="shared" si="16"/>
        <v>2.0341594043013611E-2</v>
      </c>
      <c r="T131" s="34">
        <f t="shared" si="17"/>
        <v>5.4914025029164648E-3</v>
      </c>
      <c r="U131" s="34">
        <f t="shared" si="18"/>
        <v>2.4878663914389865E-2</v>
      </c>
      <c r="V131" s="34">
        <f t="shared" si="19"/>
        <v>1.4369933918397804E-2</v>
      </c>
    </row>
    <row r="132" spans="1:22" ht="15" customHeight="1" x14ac:dyDescent="0.2">
      <c r="A132" s="32">
        <v>46070</v>
      </c>
      <c r="B132" s="33">
        <v>682.84997558593795</v>
      </c>
      <c r="C132" s="33">
        <v>263.88000488281301</v>
      </c>
      <c r="D132" s="33">
        <v>396.85998535156301</v>
      </c>
      <c r="E132" s="33">
        <v>243.330001831055</v>
      </c>
      <c r="F132" s="33">
        <v>307.13000488281301</v>
      </c>
      <c r="G132" s="33">
        <v>92.709999084472699</v>
      </c>
      <c r="H132" s="33">
        <v>89.870002746582003</v>
      </c>
      <c r="I132" s="33">
        <v>448.20001220703102</v>
      </c>
      <c r="J132" s="33">
        <v>95.489997863769503</v>
      </c>
      <c r="L132" s="34">
        <f t="shared" si="10"/>
        <v>2.6391473907211513E-3</v>
      </c>
      <c r="N132" s="34">
        <f t="shared" si="11"/>
        <v>1.6134588719294296E-3</v>
      </c>
      <c r="O132" s="34">
        <f t="shared" si="12"/>
        <v>3.166786356311313E-2</v>
      </c>
      <c r="P132" s="34">
        <f t="shared" si="13"/>
        <v>-1.1113380572259413E-2</v>
      </c>
      <c r="Q132" s="34">
        <f t="shared" si="14"/>
        <v>-4.9289430557064584E-4</v>
      </c>
      <c r="R132" s="34">
        <f t="shared" si="15"/>
        <v>1.5138050816839277E-2</v>
      </c>
      <c r="S132" s="34">
        <f t="shared" si="16"/>
        <v>-1.1620511000235756E-2</v>
      </c>
      <c r="T132" s="34">
        <f t="shared" si="17"/>
        <v>1.6718850182571021E-3</v>
      </c>
      <c r="U132" s="34">
        <f t="shared" si="18"/>
        <v>-3.1170254339102255E-2</v>
      </c>
      <c r="V132" s="34">
        <f t="shared" si="19"/>
        <v>9.5147643590549613E-3</v>
      </c>
    </row>
    <row r="133" spans="1:22" ht="15" customHeight="1" x14ac:dyDescent="0.2">
      <c r="A133" s="32">
        <v>46071</v>
      </c>
      <c r="B133" s="33">
        <v>686.28997802734398</v>
      </c>
      <c r="C133" s="33">
        <v>264.35000610351602</v>
      </c>
      <c r="D133" s="33">
        <v>399.60000610351602</v>
      </c>
      <c r="E133" s="33">
        <v>244.99000549316401</v>
      </c>
      <c r="F133" s="33">
        <v>308.77999877929699</v>
      </c>
      <c r="G133" s="33">
        <v>91.220001220703097</v>
      </c>
      <c r="H133" s="33">
        <v>89.529998779296903</v>
      </c>
      <c r="I133" s="33">
        <v>458.27999877929699</v>
      </c>
      <c r="J133" s="33">
        <v>94.370002746582003</v>
      </c>
      <c r="L133" s="34">
        <f t="shared" si="10"/>
        <v>3.7089813099064821E-3</v>
      </c>
      <c r="N133" s="34">
        <f t="shared" si="11"/>
        <v>5.0377133549053266E-3</v>
      </c>
      <c r="O133" s="34">
        <f t="shared" si="12"/>
        <v>1.7811172199717618E-3</v>
      </c>
      <c r="P133" s="34">
        <f t="shared" si="13"/>
        <v>6.9042504991418951E-3</v>
      </c>
      <c r="Q133" s="34">
        <f t="shared" si="14"/>
        <v>6.8220262590616976E-3</v>
      </c>
      <c r="R133" s="34">
        <f t="shared" si="15"/>
        <v>5.372297952827898E-3</v>
      </c>
      <c r="S133" s="34">
        <f t="shared" si="16"/>
        <v>-1.6071598300977152E-2</v>
      </c>
      <c r="T133" s="34">
        <f t="shared" si="17"/>
        <v>-3.7832864904193686E-3</v>
      </c>
      <c r="U133" s="34">
        <f t="shared" si="18"/>
        <v>2.2489929267583086E-2</v>
      </c>
      <c r="V133" s="34">
        <f t="shared" si="19"/>
        <v>-1.1728925984324956E-2</v>
      </c>
    </row>
    <row r="134" spans="1:22" ht="15" customHeight="1" x14ac:dyDescent="0.2">
      <c r="A134" s="32">
        <v>46072</v>
      </c>
      <c r="B134" s="33">
        <v>684.47998046875</v>
      </c>
      <c r="C134" s="33">
        <v>260.57998657226602</v>
      </c>
      <c r="D134" s="33">
        <v>398.45999145507801</v>
      </c>
      <c r="E134" s="33">
        <v>246.91000366210901</v>
      </c>
      <c r="F134" s="33">
        <v>308.04998779296898</v>
      </c>
      <c r="G134" s="33">
        <v>91.639999389648395</v>
      </c>
      <c r="H134" s="33">
        <v>89.620002746582003</v>
      </c>
      <c r="I134" s="33">
        <v>459.55999755859398</v>
      </c>
      <c r="J134" s="33">
        <v>94.169998168945298</v>
      </c>
      <c r="L134" s="34">
        <f t="shared" si="10"/>
        <v>-2.1834180111840241E-3</v>
      </c>
      <c r="N134" s="34">
        <f t="shared" si="11"/>
        <v>-2.6373655692839559E-3</v>
      </c>
      <c r="O134" s="34">
        <f t="shared" si="12"/>
        <v>-1.4261469431454121E-2</v>
      </c>
      <c r="P134" s="34">
        <f t="shared" si="13"/>
        <v>-2.8528894670304394E-3</v>
      </c>
      <c r="Q134" s="34">
        <f t="shared" si="14"/>
        <v>7.8370469239348317E-3</v>
      </c>
      <c r="R134" s="34">
        <f t="shared" si="15"/>
        <v>-2.3641783444976472E-3</v>
      </c>
      <c r="S134" s="34">
        <f t="shared" si="16"/>
        <v>4.6042333186242512E-3</v>
      </c>
      <c r="T134" s="34">
        <f t="shared" si="17"/>
        <v>1.0052939630544877E-3</v>
      </c>
      <c r="U134" s="34">
        <f t="shared" si="18"/>
        <v>2.7930496262251747E-3</v>
      </c>
      <c r="V134" s="34">
        <f t="shared" si="19"/>
        <v>-2.1193660253862046E-3</v>
      </c>
    </row>
    <row r="135" spans="1:22" ht="15" customHeight="1" x14ac:dyDescent="0.2">
      <c r="A135" s="32">
        <v>46073</v>
      </c>
      <c r="B135" s="33">
        <v>689.42999267578102</v>
      </c>
      <c r="C135" s="33">
        <v>264.57998657226602</v>
      </c>
      <c r="D135" s="33">
        <v>397.23001098632801</v>
      </c>
      <c r="E135" s="33">
        <v>242.49000549316401</v>
      </c>
      <c r="F135" s="33">
        <v>310.79000854492199</v>
      </c>
      <c r="G135" s="33">
        <v>92.180000305175795</v>
      </c>
      <c r="H135" s="33">
        <v>89.410003662109403</v>
      </c>
      <c r="I135" s="33">
        <v>468.61999511718801</v>
      </c>
      <c r="J135" s="33">
        <v>94.879997253417997</v>
      </c>
      <c r="L135" s="34">
        <f t="shared" si="10"/>
        <v>5.0370354648842782E-3</v>
      </c>
      <c r="N135" s="34">
        <f t="shared" si="11"/>
        <v>7.2317852213019673E-3</v>
      </c>
      <c r="O135" s="34">
        <f t="shared" si="12"/>
        <v>1.5350373037534393E-2</v>
      </c>
      <c r="P135" s="34">
        <f t="shared" si="13"/>
        <v>-3.0868355547025716E-3</v>
      </c>
      <c r="Q135" s="34">
        <f t="shared" si="14"/>
        <v>-1.7901251886876413E-2</v>
      </c>
      <c r="R135" s="34">
        <f t="shared" si="15"/>
        <v>8.8947276758033489E-3</v>
      </c>
      <c r="S135" s="34">
        <f t="shared" si="16"/>
        <v>5.8926333383235718E-3</v>
      </c>
      <c r="T135" s="34">
        <f t="shared" si="17"/>
        <v>-2.3432166707962887E-3</v>
      </c>
      <c r="U135" s="34">
        <f t="shared" si="18"/>
        <v>1.9714504323102844E-2</v>
      </c>
      <c r="V135" s="34">
        <f t="shared" si="19"/>
        <v>7.5395465464376255E-3</v>
      </c>
    </row>
    <row r="136" spans="1:22" ht="15" customHeight="1" x14ac:dyDescent="0.2">
      <c r="A136" s="32">
        <v>46076</v>
      </c>
      <c r="B136" s="33">
        <v>682.39001464843795</v>
      </c>
      <c r="C136" s="33">
        <v>266.17999267578102</v>
      </c>
      <c r="D136" s="33">
        <v>384.47000122070301</v>
      </c>
      <c r="E136" s="33">
        <v>245.83999633789099</v>
      </c>
      <c r="F136" s="33">
        <v>297.67001342773398</v>
      </c>
      <c r="G136" s="33">
        <v>94.059997558593807</v>
      </c>
      <c r="H136" s="33">
        <v>89.739997863769503</v>
      </c>
      <c r="I136" s="33">
        <v>481.27999877929699</v>
      </c>
      <c r="J136" s="33">
        <v>94.889999389648395</v>
      </c>
      <c r="L136" s="34">
        <f t="shared" si="10"/>
        <v>-3.3856939953364118E-3</v>
      </c>
      <c r="N136" s="34">
        <f t="shared" si="11"/>
        <v>-1.021130223827349E-2</v>
      </c>
      <c r="O136" s="34">
        <f t="shared" si="12"/>
        <v>6.0473436568035943E-3</v>
      </c>
      <c r="P136" s="34">
        <f t="shared" si="13"/>
        <v>-3.2122471647954565E-2</v>
      </c>
      <c r="Q136" s="34">
        <f t="shared" si="14"/>
        <v>1.3814964612310243E-2</v>
      </c>
      <c r="R136" s="34">
        <f t="shared" si="15"/>
        <v>-4.2214983611005064E-2</v>
      </c>
      <c r="S136" s="34">
        <f t="shared" si="16"/>
        <v>2.0394849720047681E-2</v>
      </c>
      <c r="T136" s="34">
        <f t="shared" si="17"/>
        <v>3.6907973173470054E-3</v>
      </c>
      <c r="U136" s="34">
        <f t="shared" si="18"/>
        <v>2.7015500392686187E-2</v>
      </c>
      <c r="V136" s="34">
        <f t="shared" si="19"/>
        <v>1.054188081781593E-4</v>
      </c>
    </row>
    <row r="137" spans="1:22" ht="15" customHeight="1" x14ac:dyDescent="0.2">
      <c r="A137" s="32">
        <v>46077</v>
      </c>
      <c r="B137" s="33">
        <v>687.34997558593795</v>
      </c>
      <c r="C137" s="33">
        <v>272.14001464843801</v>
      </c>
      <c r="D137" s="33">
        <v>389</v>
      </c>
      <c r="E137" s="33">
        <v>246.27999877929699</v>
      </c>
      <c r="F137" s="33">
        <v>297.29998779296898</v>
      </c>
      <c r="G137" s="33">
        <v>95.680000305175795</v>
      </c>
      <c r="H137" s="33">
        <v>89.900001525878906</v>
      </c>
      <c r="I137" s="33">
        <v>474.60998535156301</v>
      </c>
      <c r="J137" s="33">
        <v>95.129997253417997</v>
      </c>
      <c r="L137" s="34">
        <f t="shared" si="10"/>
        <v>6.3342728552908869E-3</v>
      </c>
      <c r="N137" s="34">
        <f t="shared" si="11"/>
        <v>7.2685133589700524E-3</v>
      </c>
      <c r="O137" s="34">
        <f t="shared" si="12"/>
        <v>2.239094648979334E-2</v>
      </c>
      <c r="P137" s="34">
        <f t="shared" si="13"/>
        <v>1.1782450555086532E-2</v>
      </c>
      <c r="Q137" s="34">
        <f t="shared" si="14"/>
        <v>1.7897919295493114E-3</v>
      </c>
      <c r="R137" s="34">
        <f t="shared" si="15"/>
        <v>-1.2430732625838825E-3</v>
      </c>
      <c r="S137" s="34">
        <f t="shared" si="16"/>
        <v>1.7223078764942779E-2</v>
      </c>
      <c r="T137" s="34">
        <f t="shared" si="17"/>
        <v>1.7829693104327582E-3</v>
      </c>
      <c r="U137" s="34">
        <f t="shared" si="18"/>
        <v>-1.3858904264984151E-2</v>
      </c>
      <c r="V137" s="34">
        <f t="shared" si="19"/>
        <v>2.5292218918042675E-3</v>
      </c>
    </row>
    <row r="138" spans="1:22" ht="15" customHeight="1" x14ac:dyDescent="0.2">
      <c r="A138" s="32">
        <v>46078</v>
      </c>
      <c r="B138" s="33">
        <v>693.15002441406295</v>
      </c>
      <c r="C138" s="33">
        <v>274.23001098632801</v>
      </c>
      <c r="D138" s="33">
        <v>400.60000610351602</v>
      </c>
      <c r="E138" s="33">
        <v>245.169998168945</v>
      </c>
      <c r="F138" s="33">
        <v>303.29998779296898</v>
      </c>
      <c r="G138" s="33">
        <v>95.110000610351605</v>
      </c>
      <c r="H138" s="33">
        <v>89.910003662109403</v>
      </c>
      <c r="I138" s="33">
        <v>473.42001342773398</v>
      </c>
      <c r="J138" s="33">
        <v>94.870002746582003</v>
      </c>
      <c r="L138" s="34">
        <f t="shared" si="10"/>
        <v>7.3098296546663675E-3</v>
      </c>
      <c r="N138" s="34">
        <f t="shared" si="11"/>
        <v>8.4382760371537469E-3</v>
      </c>
      <c r="O138" s="34">
        <f t="shared" si="12"/>
        <v>7.6798567847140564E-3</v>
      </c>
      <c r="P138" s="34">
        <f t="shared" si="13"/>
        <v>2.9820067104154191E-2</v>
      </c>
      <c r="Q138" s="34">
        <f t="shared" si="14"/>
        <v>-4.5070676297457313E-3</v>
      </c>
      <c r="R138" s="34">
        <f t="shared" si="15"/>
        <v>2.0181635541062448E-2</v>
      </c>
      <c r="S138" s="34">
        <f t="shared" si="16"/>
        <v>-5.9573546509840147E-3</v>
      </c>
      <c r="T138" s="34">
        <f t="shared" si="17"/>
        <v>1.1125846563664332E-4</v>
      </c>
      <c r="U138" s="34">
        <f t="shared" si="18"/>
        <v>-2.5072627221435217E-3</v>
      </c>
      <c r="V138" s="34">
        <f t="shared" si="19"/>
        <v>-2.7330444059973091E-3</v>
      </c>
    </row>
    <row r="139" spans="1:22" ht="15" customHeight="1" x14ac:dyDescent="0.2">
      <c r="A139" s="32">
        <v>46079</v>
      </c>
      <c r="B139" s="33">
        <v>689.29998779296898</v>
      </c>
      <c r="C139" s="33">
        <v>272.95001220703102</v>
      </c>
      <c r="D139" s="33">
        <v>401.72000122070301</v>
      </c>
      <c r="E139" s="33">
        <v>243.47000122070301</v>
      </c>
      <c r="F139" s="33">
        <v>306.13000488281301</v>
      </c>
      <c r="G139" s="33">
        <v>91.989997863769503</v>
      </c>
      <c r="H139" s="33">
        <v>90.269996643066406</v>
      </c>
      <c r="I139" s="33">
        <v>477.48001098632801</v>
      </c>
      <c r="J139" s="33">
        <v>95.519996643066406</v>
      </c>
      <c r="L139" s="34">
        <f t="shared" si="10"/>
        <v>-9.6827170686382988E-4</v>
      </c>
      <c r="N139" s="34">
        <f t="shared" si="11"/>
        <v>-5.5544059517973476E-3</v>
      </c>
      <c r="O139" s="34">
        <f t="shared" si="12"/>
        <v>-4.6676101375381363E-3</v>
      </c>
      <c r="P139" s="34">
        <f t="shared" si="13"/>
        <v>2.7957940592182595E-3</v>
      </c>
      <c r="Q139" s="34">
        <f t="shared" si="14"/>
        <v>-6.9339517923825422E-3</v>
      </c>
      <c r="R139" s="34">
        <f t="shared" si="15"/>
        <v>9.3307524027195221E-3</v>
      </c>
      <c r="S139" s="34">
        <f t="shared" si="16"/>
        <v>-3.2804150210914096E-2</v>
      </c>
      <c r="T139" s="34">
        <f t="shared" si="17"/>
        <v>4.0039257734867384E-3</v>
      </c>
      <c r="U139" s="34">
        <f t="shared" si="18"/>
        <v>8.5758891543223914E-3</v>
      </c>
      <c r="V139" s="34">
        <f t="shared" si="19"/>
        <v>6.8514164400381716E-3</v>
      </c>
    </row>
    <row r="140" spans="1:22" ht="15" customHeight="1" x14ac:dyDescent="0.2">
      <c r="A140" s="32">
        <v>46080</v>
      </c>
      <c r="B140" s="33">
        <v>685.989990234375</v>
      </c>
      <c r="C140" s="33">
        <v>264.17999267578102</v>
      </c>
      <c r="D140" s="33">
        <v>392.739990234375</v>
      </c>
      <c r="E140" s="33">
        <v>248.42999267578099</v>
      </c>
      <c r="F140" s="33">
        <v>300.29998779296898</v>
      </c>
      <c r="G140" s="33">
        <v>93.769996643066406</v>
      </c>
      <c r="H140" s="33">
        <v>90.819999694824205</v>
      </c>
      <c r="I140" s="33">
        <v>483.75</v>
      </c>
      <c r="J140" s="33">
        <v>95.690002441406307</v>
      </c>
      <c r="L140" s="34">
        <f t="shared" si="10"/>
        <v>-5.7064661851776947E-3</v>
      </c>
      <c r="N140" s="34">
        <f t="shared" si="11"/>
        <v>-4.8019695592801392E-3</v>
      </c>
      <c r="O140" s="34">
        <f t="shared" si="12"/>
        <v>-3.2130496937285313E-2</v>
      </c>
      <c r="P140" s="34">
        <f t="shared" si="13"/>
        <v>-2.2353905603506252E-2</v>
      </c>
      <c r="Q140" s="34">
        <f t="shared" si="14"/>
        <v>2.0372084569802107E-2</v>
      </c>
      <c r="R140" s="34">
        <f t="shared" si="15"/>
        <v>-1.9044252431498099E-2</v>
      </c>
      <c r="S140" s="34">
        <f t="shared" si="16"/>
        <v>1.9349916519543209E-2</v>
      </c>
      <c r="T140" s="34">
        <f t="shared" si="17"/>
        <v>6.0928666468500481E-3</v>
      </c>
      <c r="U140" s="34">
        <f t="shared" si="18"/>
        <v>1.3131416749195601E-2</v>
      </c>
      <c r="V140" s="34">
        <f t="shared" si="19"/>
        <v>1.7797927587368534E-3</v>
      </c>
    </row>
    <row r="141" spans="1:22" ht="15" customHeight="1" x14ac:dyDescent="0.2">
      <c r="A141" s="32">
        <v>46083</v>
      </c>
      <c r="B141" s="33">
        <v>686.38000488281295</v>
      </c>
      <c r="C141" s="33">
        <v>264.72000122070301</v>
      </c>
      <c r="D141" s="33">
        <v>398.54998779296898</v>
      </c>
      <c r="E141" s="33">
        <v>248.55999755859401</v>
      </c>
      <c r="F141" s="33">
        <v>297.55999755859398</v>
      </c>
      <c r="G141" s="33">
        <v>92.709999084472699</v>
      </c>
      <c r="H141" s="33">
        <v>89.610000610351605</v>
      </c>
      <c r="I141" s="33">
        <v>490</v>
      </c>
      <c r="J141" s="33">
        <v>95.930000305175795</v>
      </c>
      <c r="L141" s="34">
        <f t="shared" si="10"/>
        <v>1.1820881240683506E-3</v>
      </c>
      <c r="N141" s="34">
        <f t="shared" si="11"/>
        <v>5.6854276883067101E-4</v>
      </c>
      <c r="O141" s="34">
        <f t="shared" si="12"/>
        <v>2.0440932693366332E-3</v>
      </c>
      <c r="P141" s="34">
        <f t="shared" si="13"/>
        <v>1.4793496213937329E-2</v>
      </c>
      <c r="Q141" s="34">
        <f t="shared" si="14"/>
        <v>5.2330590768345786E-4</v>
      </c>
      <c r="R141" s="34">
        <f t="shared" si="15"/>
        <v>-9.1241769755381341E-3</v>
      </c>
      <c r="S141" s="34">
        <f t="shared" si="16"/>
        <v>-1.1304229460821769E-2</v>
      </c>
      <c r="T141" s="34">
        <f t="shared" si="17"/>
        <v>-1.3323046559551521E-2</v>
      </c>
      <c r="U141" s="34">
        <f t="shared" si="18"/>
        <v>1.2919896640826822E-2</v>
      </c>
      <c r="V141" s="34">
        <f t="shared" si="19"/>
        <v>2.5080766814322697E-3</v>
      </c>
    </row>
    <row r="142" spans="1:22" ht="15" customHeight="1" x14ac:dyDescent="0.2">
      <c r="A142" s="32">
        <v>46084</v>
      </c>
      <c r="B142" s="33">
        <v>680.33001708984398</v>
      </c>
      <c r="C142" s="33">
        <v>263.75</v>
      </c>
      <c r="D142" s="33">
        <v>403.92999267578102</v>
      </c>
      <c r="E142" s="33">
        <v>246.75</v>
      </c>
      <c r="F142" s="33">
        <v>300.260009765625</v>
      </c>
      <c r="G142" s="33">
        <v>92.589996337890597</v>
      </c>
      <c r="H142" s="33">
        <v>89.430000305175795</v>
      </c>
      <c r="I142" s="33">
        <v>468.14001464843801</v>
      </c>
      <c r="J142" s="33">
        <v>95.419998168945298</v>
      </c>
      <c r="L142" s="34">
        <f t="shared" si="10"/>
        <v>-5.7582475963067793E-3</v>
      </c>
      <c r="N142" s="34">
        <f t="shared" si="11"/>
        <v>-8.8143415453978413E-3</v>
      </c>
      <c r="O142" s="34">
        <f t="shared" si="12"/>
        <v>-3.6642536122319935E-3</v>
      </c>
      <c r="P142" s="34">
        <f t="shared" si="13"/>
        <v>1.3498946299320247E-2</v>
      </c>
      <c r="Q142" s="34">
        <f t="shared" si="14"/>
        <v>-7.2819342467499437E-3</v>
      </c>
      <c r="R142" s="34">
        <f t="shared" si="15"/>
        <v>9.0738413401800777E-3</v>
      </c>
      <c r="S142" s="34">
        <f t="shared" si="16"/>
        <v>-1.2943883914049437E-3</v>
      </c>
      <c r="T142" s="34">
        <f t="shared" si="17"/>
        <v>-2.0087077775894358E-3</v>
      </c>
      <c r="U142" s="34">
        <f t="shared" si="18"/>
        <v>-4.4612215003187683E-2</v>
      </c>
      <c r="V142" s="34">
        <f t="shared" si="19"/>
        <v>-5.3163987762749887E-3</v>
      </c>
    </row>
    <row r="143" spans="1:22" ht="15" customHeight="1" x14ac:dyDescent="0.2">
      <c r="A143" s="32">
        <v>46085</v>
      </c>
      <c r="B143" s="33">
        <v>685.13000488281295</v>
      </c>
      <c r="C143" s="33">
        <v>262.51998901367199</v>
      </c>
      <c r="D143" s="33">
        <v>405.20001220703102</v>
      </c>
      <c r="E143" s="33">
        <v>245.30000305175801</v>
      </c>
      <c r="F143" s="33">
        <v>299.39001464843801</v>
      </c>
      <c r="G143" s="33">
        <v>92.599998474121094</v>
      </c>
      <c r="H143" s="33">
        <v>89.150001525878906</v>
      </c>
      <c r="I143" s="33">
        <v>471.79998779296898</v>
      </c>
      <c r="J143" s="33">
        <v>95.540000915527301</v>
      </c>
      <c r="L143" s="34">
        <f t="shared" si="10"/>
        <v>6.8838290846937153E-4</v>
      </c>
      <c r="N143" s="34">
        <f t="shared" si="11"/>
        <v>7.0553814654559233E-3</v>
      </c>
      <c r="O143" s="34">
        <f t="shared" si="12"/>
        <v>-4.6635487633289729E-3</v>
      </c>
      <c r="P143" s="34">
        <f t="shared" si="13"/>
        <v>3.1441575378865494E-3</v>
      </c>
      <c r="Q143" s="34">
        <f t="shared" si="14"/>
        <v>-5.8763807426220893E-3</v>
      </c>
      <c r="R143" s="34">
        <f t="shared" si="15"/>
        <v>-2.8974724868159329E-3</v>
      </c>
      <c r="S143" s="34">
        <f t="shared" si="16"/>
        <v>1.0802610029259085E-4</v>
      </c>
      <c r="T143" s="34">
        <f t="shared" si="17"/>
        <v>-3.1309267398121898E-3</v>
      </c>
      <c r="U143" s="34">
        <f t="shared" si="18"/>
        <v>7.8181164395432212E-3</v>
      </c>
      <c r="V143" s="34">
        <f t="shared" si="19"/>
        <v>1.2576267961097454E-3</v>
      </c>
    </row>
    <row r="144" spans="1:22" ht="15" customHeight="1" x14ac:dyDescent="0.2">
      <c r="A144" s="32">
        <v>46086</v>
      </c>
      <c r="B144" s="33">
        <v>681.30999755859398</v>
      </c>
      <c r="C144" s="33">
        <v>260.29000854492199</v>
      </c>
      <c r="D144" s="33">
        <v>410.67999267578102</v>
      </c>
      <c r="E144" s="33">
        <v>239.63000488281301</v>
      </c>
      <c r="F144" s="33">
        <v>293.54998779296898</v>
      </c>
      <c r="G144" s="33">
        <v>91.129997253417997</v>
      </c>
      <c r="H144" s="33">
        <v>88.790000915527301</v>
      </c>
      <c r="I144" s="33">
        <v>466.13000488281301</v>
      </c>
      <c r="J144" s="33">
        <v>94.580001831054702</v>
      </c>
      <c r="L144" s="34">
        <f t="shared" si="10"/>
        <v>-8.0008221744277894E-3</v>
      </c>
      <c r="N144" s="34">
        <f t="shared" si="11"/>
        <v>-5.5755948462253846E-3</v>
      </c>
      <c r="O144" s="34">
        <f t="shared" si="12"/>
        <v>-8.4945168447110309E-3</v>
      </c>
      <c r="P144" s="34">
        <f t="shared" si="13"/>
        <v>1.3524136978431578E-2</v>
      </c>
      <c r="Q144" s="34">
        <f t="shared" si="14"/>
        <v>-2.3114545855707269E-2</v>
      </c>
      <c r="R144" s="34">
        <f t="shared" si="15"/>
        <v>-1.9506418282943527E-2</v>
      </c>
      <c r="S144" s="34">
        <f t="shared" si="16"/>
        <v>-1.5874743465723928E-2</v>
      </c>
      <c r="T144" s="34">
        <f t="shared" si="17"/>
        <v>-4.038144746942085E-3</v>
      </c>
      <c r="U144" s="34">
        <f t="shared" si="18"/>
        <v>-1.2017768242596927E-2</v>
      </c>
      <c r="V144" s="34">
        <f t="shared" si="19"/>
        <v>-1.0048137693879577E-2</v>
      </c>
    </row>
    <row r="145" spans="1:22" ht="15" customHeight="1" x14ac:dyDescent="0.2">
      <c r="A145" s="32">
        <v>46087</v>
      </c>
      <c r="B145" s="33">
        <v>672.38000488281295</v>
      </c>
      <c r="C145" s="33">
        <v>257.45999145507801</v>
      </c>
      <c r="D145" s="33">
        <v>408.95999145507801</v>
      </c>
      <c r="E145" s="33">
        <v>240.39999389648401</v>
      </c>
      <c r="F145" s="33">
        <v>289.48001098632801</v>
      </c>
      <c r="G145" s="33">
        <v>91.019996643066406</v>
      </c>
      <c r="H145" s="33">
        <v>88.459999084472699</v>
      </c>
      <c r="I145" s="33">
        <v>473.510009765625</v>
      </c>
      <c r="J145" s="33">
        <v>93.550003051757798</v>
      </c>
      <c r="L145" s="34">
        <f t="shared" si="10"/>
        <v>-5.3874231999256079E-3</v>
      </c>
      <c r="N145" s="34">
        <f t="shared" si="11"/>
        <v>-1.3107091790492964E-2</v>
      </c>
      <c r="O145" s="34">
        <f t="shared" si="12"/>
        <v>-1.087255367835438E-2</v>
      </c>
      <c r="P145" s="34">
        <f t="shared" si="13"/>
        <v>-4.1881787556690142E-3</v>
      </c>
      <c r="Q145" s="34">
        <f t="shared" si="14"/>
        <v>3.213241238498199E-3</v>
      </c>
      <c r="R145" s="34">
        <f t="shared" si="15"/>
        <v>-1.3864680551482045E-2</v>
      </c>
      <c r="S145" s="34">
        <f t="shared" si="16"/>
        <v>-1.207073561581451E-3</v>
      </c>
      <c r="T145" s="34">
        <f t="shared" si="17"/>
        <v>-3.7166553401498659E-3</v>
      </c>
      <c r="U145" s="34">
        <f t="shared" si="18"/>
        <v>1.5832503390695418E-2</v>
      </c>
      <c r="V145" s="34">
        <f t="shared" si="19"/>
        <v>-1.0890238521424012E-2</v>
      </c>
    </row>
    <row r="146" spans="1:22" ht="15" customHeight="1" x14ac:dyDescent="0.2">
      <c r="A146" s="32">
        <v>46090</v>
      </c>
      <c r="B146" s="33">
        <v>678.27001953125</v>
      </c>
      <c r="C146" s="33">
        <v>259.88000488281301</v>
      </c>
      <c r="D146" s="33">
        <v>409.41000366210898</v>
      </c>
      <c r="E146" s="33">
        <v>242.58999633789099</v>
      </c>
      <c r="F146" s="33">
        <v>289.92001342773398</v>
      </c>
      <c r="G146" s="33">
        <v>92.010002136230497</v>
      </c>
      <c r="H146" s="33">
        <v>89.230003356933594</v>
      </c>
      <c r="I146" s="33">
        <v>472.52999877929699</v>
      </c>
      <c r="J146" s="33">
        <v>93.760002136230497</v>
      </c>
      <c r="L146" s="34">
        <f t="shared" si="10"/>
        <v>5.7882737382935678E-3</v>
      </c>
      <c r="N146" s="34">
        <f t="shared" si="11"/>
        <v>8.7599491443288713E-3</v>
      </c>
      <c r="O146" s="34">
        <f t="shared" si="12"/>
        <v>9.3995708383967091E-3</v>
      </c>
      <c r="P146" s="34">
        <f t="shared" si="13"/>
        <v>1.1003819846284735E-3</v>
      </c>
      <c r="Q146" s="34">
        <f t="shared" si="14"/>
        <v>9.1098273586063261E-3</v>
      </c>
      <c r="R146" s="34">
        <f t="shared" si="15"/>
        <v>1.5199752131651589E-3</v>
      </c>
      <c r="S146" s="34">
        <f t="shared" si="16"/>
        <v>1.0876791141251951E-2</v>
      </c>
      <c r="T146" s="34">
        <f t="shared" si="17"/>
        <v>8.7045475969946828E-3</v>
      </c>
      <c r="U146" s="34">
        <f t="shared" si="18"/>
        <v>-2.0696732193963285E-3</v>
      </c>
      <c r="V146" s="34">
        <f t="shared" si="19"/>
        <v>2.2447790232194009E-3</v>
      </c>
    </row>
    <row r="147" spans="1:22" ht="15" customHeight="1" x14ac:dyDescent="0.2">
      <c r="A147" s="32">
        <v>46091</v>
      </c>
      <c r="B147" s="33">
        <v>677.17999267578102</v>
      </c>
      <c r="C147" s="33">
        <v>260.82998657226602</v>
      </c>
      <c r="D147" s="33">
        <v>405.760009765625</v>
      </c>
      <c r="E147" s="33">
        <v>243.71000671386699</v>
      </c>
      <c r="F147" s="33">
        <v>288.73001098632801</v>
      </c>
      <c r="G147" s="33">
        <v>91.540000915527301</v>
      </c>
      <c r="H147" s="33">
        <v>88.279998779296903</v>
      </c>
      <c r="I147" s="33">
        <v>477.85998535156301</v>
      </c>
      <c r="J147" s="33">
        <v>93.620002746582003</v>
      </c>
      <c r="L147" s="34">
        <f t="shared" ref="L147:L210" si="20">IF(COUNT(N147:V147)&lt;9,"",SUMPRODUCT($B$12:$J$12,N147:V147))</f>
        <v>-9.9738296688296952E-4</v>
      </c>
      <c r="N147" s="34">
        <f t="shared" ref="N147:N210" si="21">IF(OR(B147="",B146="",B146=0),"",B147/B146-1)</f>
        <v>-1.6070691967519091E-3</v>
      </c>
      <c r="O147" s="34">
        <f t="shared" ref="O147:O210" si="22">IF(OR(C147="",C146="",C146=0),"",C147/C146-1)</f>
        <v>3.6554627966911557E-3</v>
      </c>
      <c r="P147" s="34">
        <f t="shared" ref="P147:P210" si="23">IF(OR(D147="",D146="",D146=0),"",D147/D146-1)</f>
        <v>-8.9152533251150023E-3</v>
      </c>
      <c r="Q147" s="34">
        <f t="shared" ref="Q147:Q210" si="24">IF(OR(E147="",E146="",E146=0),"",E147/E146-1)</f>
        <v>4.616886074791049E-3</v>
      </c>
      <c r="R147" s="34">
        <f t="shared" ref="R147:R210" si="25">IF(OR(F147="",F146="",F146=0),"",F147/F146-1)</f>
        <v>-4.1045888048104606E-3</v>
      </c>
      <c r="S147" s="34">
        <f t="shared" ref="S147:S210" si="26">IF(OR(G147="",G146="",G146=0),"",G147/G146-1)</f>
        <v>-5.1081535679926571E-3</v>
      </c>
      <c r="T147" s="34">
        <f t="shared" ref="T147:T210" si="27">IF(OR(H147="",H146="",H146=0),"",H147/H146-1)</f>
        <v>-1.0646694406549861E-2</v>
      </c>
      <c r="U147" s="34">
        <f t="shared" ref="U147:U210" si="28">IF(OR(I147="",I146="",I146=0),"",I147/I146-1)</f>
        <v>1.1279678721002107E-2</v>
      </c>
      <c r="V147" s="34">
        <f t="shared" ref="V147:V210" si="29">IF(OR(J147="",J146="",J146=0),"",J147/J146-1)</f>
        <v>-1.4931675176913517E-3</v>
      </c>
    </row>
    <row r="148" spans="1:22" ht="15" customHeight="1" x14ac:dyDescent="0.2">
      <c r="A148" s="32">
        <v>46092</v>
      </c>
      <c r="B148" s="33">
        <v>676.33001708984398</v>
      </c>
      <c r="C148" s="33">
        <v>260.80999755859398</v>
      </c>
      <c r="D148" s="33">
        <v>404.88000488281301</v>
      </c>
      <c r="E148" s="33">
        <v>242.99000549316401</v>
      </c>
      <c r="F148" s="33">
        <v>287.51998901367199</v>
      </c>
      <c r="G148" s="33">
        <v>91.660003662109403</v>
      </c>
      <c r="H148" s="33">
        <v>87.139999389648395</v>
      </c>
      <c r="I148" s="33">
        <v>476.239990234375</v>
      </c>
      <c r="J148" s="33">
        <v>92.650001525878906</v>
      </c>
      <c r="L148" s="34">
        <f t="shared" si="20"/>
        <v>-3.6017642825996836E-3</v>
      </c>
      <c r="N148" s="34">
        <f t="shared" si="21"/>
        <v>-1.2551693717035572E-3</v>
      </c>
      <c r="O148" s="34">
        <f t="shared" si="22"/>
        <v>-7.663617950803836E-5</v>
      </c>
      <c r="P148" s="34">
        <f t="shared" si="23"/>
        <v>-2.1687816976352359E-3</v>
      </c>
      <c r="Q148" s="34">
        <f t="shared" si="24"/>
        <v>-2.9543358945794962E-3</v>
      </c>
      <c r="R148" s="34">
        <f t="shared" si="25"/>
        <v>-4.190842401600281E-3</v>
      </c>
      <c r="S148" s="34">
        <f t="shared" si="26"/>
        <v>1.310932328838943E-3</v>
      </c>
      <c r="T148" s="34">
        <f t="shared" si="27"/>
        <v>-1.2913450446443098E-2</v>
      </c>
      <c r="U148" s="34">
        <f t="shared" si="28"/>
        <v>-3.390104145246986E-3</v>
      </c>
      <c r="V148" s="34">
        <f t="shared" si="29"/>
        <v>-1.0361046702046961E-2</v>
      </c>
    </row>
    <row r="149" spans="1:22" ht="15" customHeight="1" x14ac:dyDescent="0.2">
      <c r="A149" s="32">
        <v>46093</v>
      </c>
      <c r="B149" s="33">
        <v>666.05999755859398</v>
      </c>
      <c r="C149" s="33">
        <v>255.75999450683599</v>
      </c>
      <c r="D149" s="33">
        <v>401.85998535156301</v>
      </c>
      <c r="E149" s="33">
        <v>242.03999328613301</v>
      </c>
      <c r="F149" s="33">
        <v>282.89001464843801</v>
      </c>
      <c r="G149" s="33">
        <v>91.730003356933594</v>
      </c>
      <c r="H149" s="33">
        <v>86.970001220703097</v>
      </c>
      <c r="I149" s="33">
        <v>466.88000488281301</v>
      </c>
      <c r="J149" s="33">
        <v>92.010002136230497</v>
      </c>
      <c r="L149" s="34">
        <f t="shared" si="20"/>
        <v>-1.1612018048551472E-2</v>
      </c>
      <c r="N149" s="34">
        <f t="shared" si="21"/>
        <v>-1.51849234423167E-2</v>
      </c>
      <c r="O149" s="34">
        <f t="shared" si="22"/>
        <v>-1.9362766377939322E-2</v>
      </c>
      <c r="P149" s="34">
        <f t="shared" si="23"/>
        <v>-7.4590483472358748E-3</v>
      </c>
      <c r="Q149" s="34">
        <f t="shared" si="24"/>
        <v>-3.9096760589097945E-3</v>
      </c>
      <c r="R149" s="34">
        <f t="shared" si="25"/>
        <v>-1.6103139058668448E-2</v>
      </c>
      <c r="S149" s="34">
        <f t="shared" si="26"/>
        <v>7.6368854492114835E-4</v>
      </c>
      <c r="T149" s="34">
        <f t="shared" si="27"/>
        <v>-1.9508626364013182E-3</v>
      </c>
      <c r="U149" s="34">
        <f t="shared" si="28"/>
        <v>-1.9653925633073333E-2</v>
      </c>
      <c r="V149" s="34">
        <f t="shared" si="29"/>
        <v>-6.9077105138486417E-3</v>
      </c>
    </row>
    <row r="150" spans="1:22" ht="15" customHeight="1" x14ac:dyDescent="0.2">
      <c r="A150" s="32">
        <v>46094</v>
      </c>
      <c r="B150" s="33">
        <v>662.28997802734398</v>
      </c>
      <c r="C150" s="33">
        <v>250.11999511718801</v>
      </c>
      <c r="D150" s="33">
        <v>395.54998779296898</v>
      </c>
      <c r="E150" s="33">
        <v>241.52000427246099</v>
      </c>
      <c r="F150" s="33">
        <v>283.44000244140602</v>
      </c>
      <c r="G150" s="33">
        <v>92.779998779296903</v>
      </c>
      <c r="H150" s="33">
        <v>86.540000915527301</v>
      </c>
      <c r="I150" s="33">
        <v>460.83999633789102</v>
      </c>
      <c r="J150" s="33">
        <v>92.160003662109403</v>
      </c>
      <c r="L150" s="34">
        <f t="shared" si="20"/>
        <v>-7.9868386339128749E-3</v>
      </c>
      <c r="N150" s="34">
        <f t="shared" si="21"/>
        <v>-5.660180081477395E-3</v>
      </c>
      <c r="O150" s="34">
        <f t="shared" si="22"/>
        <v>-2.2051921765650628E-2</v>
      </c>
      <c r="P150" s="34">
        <f t="shared" si="23"/>
        <v>-1.570198026328451E-2</v>
      </c>
      <c r="Q150" s="34">
        <f t="shared" si="24"/>
        <v>-2.148359891323004E-3</v>
      </c>
      <c r="R150" s="34">
        <f t="shared" si="25"/>
        <v>1.9441753490363478E-3</v>
      </c>
      <c r="S150" s="34">
        <f t="shared" si="26"/>
        <v>1.1446586546798976E-2</v>
      </c>
      <c r="T150" s="34">
        <f t="shared" si="27"/>
        <v>-4.9442370833661098E-3</v>
      </c>
      <c r="U150" s="34">
        <f t="shared" si="28"/>
        <v>-1.2936961278601E-2</v>
      </c>
      <c r="V150" s="34">
        <f t="shared" si="29"/>
        <v>1.6302741266847054E-3</v>
      </c>
    </row>
    <row r="151" spans="1:22" ht="15" customHeight="1" x14ac:dyDescent="0.2">
      <c r="A151" s="32">
        <v>46097</v>
      </c>
      <c r="B151" s="33">
        <v>669.030029296875</v>
      </c>
      <c r="C151" s="33">
        <v>252.82000732421901</v>
      </c>
      <c r="D151" s="33">
        <v>399.95001220703102</v>
      </c>
      <c r="E151" s="33">
        <v>243.19000244140599</v>
      </c>
      <c r="F151" s="33">
        <v>286.16000366210898</v>
      </c>
      <c r="G151" s="33">
        <v>92.819999694824205</v>
      </c>
      <c r="H151" s="33">
        <v>87.209999084472699</v>
      </c>
      <c r="I151" s="33">
        <v>460.42999267578102</v>
      </c>
      <c r="J151" s="33">
        <v>92.930000305175795</v>
      </c>
      <c r="L151" s="34">
        <f t="shared" si="20"/>
        <v>8.0791570801117749E-3</v>
      </c>
      <c r="N151" s="34">
        <f t="shared" si="21"/>
        <v>1.0176888512803073E-2</v>
      </c>
      <c r="O151" s="34">
        <f t="shared" si="22"/>
        <v>1.0794867502559979E-2</v>
      </c>
      <c r="P151" s="34">
        <f t="shared" si="23"/>
        <v>1.1123813803187499E-2</v>
      </c>
      <c r="Q151" s="34">
        <f t="shared" si="24"/>
        <v>6.9145335351230575E-3</v>
      </c>
      <c r="R151" s="34">
        <f t="shared" si="25"/>
        <v>9.5963914665335714E-3</v>
      </c>
      <c r="S151" s="34">
        <f t="shared" si="26"/>
        <v>4.3113727154109327E-4</v>
      </c>
      <c r="T151" s="34">
        <f t="shared" si="27"/>
        <v>7.7420633447806697E-3</v>
      </c>
      <c r="U151" s="34">
        <f t="shared" si="28"/>
        <v>-8.8968766897001839E-4</v>
      </c>
      <c r="V151" s="34">
        <f t="shared" si="29"/>
        <v>8.3549979651635908E-3</v>
      </c>
    </row>
    <row r="152" spans="1:22" ht="15" customHeight="1" x14ac:dyDescent="0.2">
      <c r="A152" s="32">
        <v>46098</v>
      </c>
      <c r="B152" s="33">
        <v>670.78997802734398</v>
      </c>
      <c r="C152" s="33">
        <v>254.22999572753901</v>
      </c>
      <c r="D152" s="33">
        <v>399.41000366210898</v>
      </c>
      <c r="E152" s="33">
        <v>238.11000061035199</v>
      </c>
      <c r="F152" s="33">
        <v>286.89001464843801</v>
      </c>
      <c r="G152" s="33">
        <v>92.529998779296903</v>
      </c>
      <c r="H152" s="33">
        <v>87.449996948242202</v>
      </c>
      <c r="I152" s="33">
        <v>459.26998901367199</v>
      </c>
      <c r="J152" s="33">
        <v>93.339996337890597</v>
      </c>
      <c r="L152" s="34">
        <f t="shared" si="20"/>
        <v>-4.7798468514300525E-4</v>
      </c>
      <c r="N152" s="34">
        <f t="shared" si="21"/>
        <v>2.6305975119211844E-3</v>
      </c>
      <c r="O152" s="34">
        <f t="shared" si="22"/>
        <v>5.5770443891800525E-3</v>
      </c>
      <c r="P152" s="34">
        <f t="shared" si="23"/>
        <v>-1.3501900948624801E-3</v>
      </c>
      <c r="Q152" s="34">
        <f t="shared" si="24"/>
        <v>-2.0889024137733525E-2</v>
      </c>
      <c r="R152" s="34">
        <f t="shared" si="25"/>
        <v>2.5510587677759489E-3</v>
      </c>
      <c r="S152" s="34">
        <f t="shared" si="26"/>
        <v>-3.1243365274808976E-3</v>
      </c>
      <c r="T152" s="34">
        <f t="shared" si="27"/>
        <v>2.7519535178188725E-3</v>
      </c>
      <c r="U152" s="34">
        <f t="shared" si="28"/>
        <v>-2.5193920477849518E-3</v>
      </c>
      <c r="V152" s="34">
        <f t="shared" si="29"/>
        <v>4.4118802471579954E-3</v>
      </c>
    </row>
    <row r="153" spans="1:22" ht="15" customHeight="1" x14ac:dyDescent="0.2">
      <c r="A153" s="32">
        <v>46099</v>
      </c>
      <c r="B153" s="33">
        <v>661.42999267578102</v>
      </c>
      <c r="C153" s="33">
        <v>249.94000244140599</v>
      </c>
      <c r="D153" s="33">
        <v>391.79000854492199</v>
      </c>
      <c r="E153" s="33">
        <v>237.27999877929699</v>
      </c>
      <c r="F153" s="33">
        <v>287.739990234375</v>
      </c>
      <c r="G153" s="33">
        <v>90.959999084472699</v>
      </c>
      <c r="H153" s="33">
        <v>86.959999084472699</v>
      </c>
      <c r="I153" s="33">
        <v>444.739990234375</v>
      </c>
      <c r="J153" s="33">
        <v>91.959999084472699</v>
      </c>
      <c r="L153" s="34">
        <f t="shared" si="20"/>
        <v>-1.3583152081999707E-2</v>
      </c>
      <c r="N153" s="34">
        <f t="shared" si="21"/>
        <v>-1.3953675007323141E-2</v>
      </c>
      <c r="O153" s="34">
        <f t="shared" si="22"/>
        <v>-1.6874457610150162E-2</v>
      </c>
      <c r="P153" s="34">
        <f t="shared" si="23"/>
        <v>-1.9078127856890892E-2</v>
      </c>
      <c r="Q153" s="34">
        <f t="shared" si="24"/>
        <v>-3.48579156241835E-3</v>
      </c>
      <c r="R153" s="34">
        <f t="shared" si="25"/>
        <v>2.9627227945823176E-3</v>
      </c>
      <c r="S153" s="34">
        <f t="shared" si="26"/>
        <v>-1.6967466935441933E-2</v>
      </c>
      <c r="T153" s="34">
        <f t="shared" si="27"/>
        <v>-5.6031775971302489E-3</v>
      </c>
      <c r="U153" s="34">
        <f t="shared" si="28"/>
        <v>-3.163716142328743E-2</v>
      </c>
      <c r="V153" s="34">
        <f t="shared" si="29"/>
        <v>-1.4784629393195026E-2</v>
      </c>
    </row>
    <row r="154" spans="1:22" ht="15" customHeight="1" x14ac:dyDescent="0.2">
      <c r="A154" s="32">
        <v>46100</v>
      </c>
      <c r="B154" s="33">
        <v>659.79998779296898</v>
      </c>
      <c r="C154" s="33">
        <v>248.96000671386699</v>
      </c>
      <c r="D154" s="33">
        <v>389.01998901367199</v>
      </c>
      <c r="E154" s="33">
        <v>237.60000610351599</v>
      </c>
      <c r="F154" s="33">
        <v>287.97000122070301</v>
      </c>
      <c r="G154" s="33">
        <v>92.410003662109403</v>
      </c>
      <c r="H154" s="33">
        <v>87.489997863769503</v>
      </c>
      <c r="I154" s="33">
        <v>426.41000366210898</v>
      </c>
      <c r="J154" s="33">
        <v>91.589996337890597</v>
      </c>
      <c r="L154" s="34">
        <f t="shared" si="20"/>
        <v>-4.9949291182568535E-3</v>
      </c>
      <c r="N154" s="34">
        <f t="shared" si="21"/>
        <v>-2.4643649378793819E-3</v>
      </c>
      <c r="O154" s="34">
        <f t="shared" si="22"/>
        <v>-3.9209238936002144E-3</v>
      </c>
      <c r="P154" s="34">
        <f t="shared" si="23"/>
        <v>-7.0701637888562763E-3</v>
      </c>
      <c r="Q154" s="34">
        <f t="shared" si="24"/>
        <v>1.3486485412395055E-3</v>
      </c>
      <c r="R154" s="34">
        <f t="shared" si="25"/>
        <v>7.993709395091031E-4</v>
      </c>
      <c r="S154" s="34">
        <f t="shared" si="26"/>
        <v>1.5941123485391895E-2</v>
      </c>
      <c r="T154" s="34">
        <f t="shared" si="27"/>
        <v>6.094742236392614E-3</v>
      </c>
      <c r="U154" s="34">
        <f t="shared" si="28"/>
        <v>-4.1215062676523084E-2</v>
      </c>
      <c r="V154" s="34">
        <f t="shared" si="29"/>
        <v>-4.0235183804452346E-3</v>
      </c>
    </row>
    <row r="155" spans="1:22" ht="15" customHeight="1" x14ac:dyDescent="0.2">
      <c r="A155" s="32">
        <v>46101</v>
      </c>
      <c r="B155" s="33">
        <v>648.57000732421898</v>
      </c>
      <c r="C155" s="33">
        <v>247.99000549316401</v>
      </c>
      <c r="D155" s="33">
        <v>381.86999511718801</v>
      </c>
      <c r="E155" s="33">
        <v>235.36999511718801</v>
      </c>
      <c r="F155" s="33">
        <v>286.55999755859398</v>
      </c>
      <c r="G155" s="33">
        <v>89.5</v>
      </c>
      <c r="H155" s="33">
        <v>85.830001831054702</v>
      </c>
      <c r="I155" s="33">
        <v>413.38000488281301</v>
      </c>
      <c r="J155" s="33">
        <v>88.75</v>
      </c>
      <c r="L155" s="34">
        <f t="shared" si="20"/>
        <v>-1.6349411294566268E-2</v>
      </c>
      <c r="N155" s="34">
        <f t="shared" si="21"/>
        <v>-1.7020279897722146E-2</v>
      </c>
      <c r="O155" s="34">
        <f t="shared" si="22"/>
        <v>-3.8962130243586079E-3</v>
      </c>
      <c r="P155" s="34">
        <f t="shared" si="23"/>
        <v>-1.8379502592173247E-2</v>
      </c>
      <c r="Q155" s="34">
        <f t="shared" si="24"/>
        <v>-9.3855678831776812E-3</v>
      </c>
      <c r="R155" s="34">
        <f t="shared" si="25"/>
        <v>-4.896356065326346E-3</v>
      </c>
      <c r="S155" s="34">
        <f t="shared" si="26"/>
        <v>-3.1490136855200523E-2</v>
      </c>
      <c r="T155" s="34">
        <f t="shared" si="27"/>
        <v>-1.8973552100202129E-2</v>
      </c>
      <c r="U155" s="34">
        <f t="shared" si="28"/>
        <v>-3.0557441587653389E-2</v>
      </c>
      <c r="V155" s="34">
        <f t="shared" si="29"/>
        <v>-3.1007713194063036E-2</v>
      </c>
    </row>
    <row r="156" spans="1:22" ht="15" customHeight="1" x14ac:dyDescent="0.2">
      <c r="A156" s="32">
        <v>46104</v>
      </c>
      <c r="B156" s="33">
        <v>655.38000488281295</v>
      </c>
      <c r="C156" s="33">
        <v>251.49000549316401</v>
      </c>
      <c r="D156" s="33">
        <v>383</v>
      </c>
      <c r="E156" s="33">
        <v>235.419998168945</v>
      </c>
      <c r="F156" s="33">
        <v>289.91000366210898</v>
      </c>
      <c r="G156" s="33">
        <v>90.230003356933594</v>
      </c>
      <c r="H156" s="33">
        <v>86.389999389648395</v>
      </c>
      <c r="I156" s="33">
        <v>404.04000854492199</v>
      </c>
      <c r="J156" s="33">
        <v>89.440002441406307</v>
      </c>
      <c r="L156" s="34">
        <f t="shared" si="20"/>
        <v>5.0903241791138655E-3</v>
      </c>
      <c r="N156" s="34">
        <f t="shared" si="21"/>
        <v>1.0500019244938041E-2</v>
      </c>
      <c r="O156" s="34">
        <f t="shared" si="22"/>
        <v>1.411347200480817E-2</v>
      </c>
      <c r="P156" s="34">
        <f t="shared" si="23"/>
        <v>2.9591350387851989E-3</v>
      </c>
      <c r="Q156" s="34">
        <f t="shared" si="24"/>
        <v>2.1244446103718673E-4</v>
      </c>
      <c r="R156" s="34">
        <f t="shared" si="25"/>
        <v>1.1690417825432897E-2</v>
      </c>
      <c r="S156" s="34">
        <f t="shared" si="26"/>
        <v>8.1564620886434014E-3</v>
      </c>
      <c r="T156" s="34">
        <f t="shared" si="27"/>
        <v>6.524496640416988E-3</v>
      </c>
      <c r="U156" s="34">
        <f t="shared" si="28"/>
        <v>-2.2594214107038768E-2</v>
      </c>
      <c r="V156" s="34">
        <f t="shared" si="29"/>
        <v>7.7746753961274173E-3</v>
      </c>
    </row>
    <row r="157" spans="1:22" ht="15" customHeight="1" x14ac:dyDescent="0.2">
      <c r="A157" s="32">
        <v>46105</v>
      </c>
      <c r="B157" s="33">
        <v>653.17999267578102</v>
      </c>
      <c r="C157" s="33">
        <v>251.63999938964801</v>
      </c>
      <c r="D157" s="33">
        <v>372.739990234375</v>
      </c>
      <c r="E157" s="33">
        <v>235.27000427246099</v>
      </c>
      <c r="F157" s="33">
        <v>292.39999389648398</v>
      </c>
      <c r="G157" s="33">
        <v>91.620002746582003</v>
      </c>
      <c r="H157" s="33">
        <v>86.010002136230497</v>
      </c>
      <c r="I157" s="33">
        <v>404.13000488281301</v>
      </c>
      <c r="J157" s="33">
        <v>87.910003662109403</v>
      </c>
      <c r="L157" s="34">
        <f t="shared" si="20"/>
        <v>-4.2465473330427972E-3</v>
      </c>
      <c r="N157" s="34">
        <f t="shared" si="21"/>
        <v>-3.3568497522674656E-3</v>
      </c>
      <c r="O157" s="34">
        <f t="shared" si="22"/>
        <v>5.9642090424172345E-4</v>
      </c>
      <c r="P157" s="34">
        <f t="shared" si="23"/>
        <v>-2.6788537247062649E-2</v>
      </c>
      <c r="Q157" s="34">
        <f t="shared" si="24"/>
        <v>-6.3713319875380314E-4</v>
      </c>
      <c r="R157" s="34">
        <f t="shared" si="25"/>
        <v>8.5888386151624641E-3</v>
      </c>
      <c r="S157" s="34">
        <f t="shared" si="26"/>
        <v>1.5405068579570136E-2</v>
      </c>
      <c r="T157" s="34">
        <f t="shared" si="27"/>
        <v>-4.3986254902489419E-3</v>
      </c>
      <c r="U157" s="34">
        <f t="shared" si="28"/>
        <v>2.2274115431075714E-4</v>
      </c>
      <c r="V157" s="34">
        <f t="shared" si="29"/>
        <v>-1.7106425956318949E-2</v>
      </c>
    </row>
    <row r="158" spans="1:22" ht="15" customHeight="1" x14ac:dyDescent="0.2">
      <c r="A158" s="32">
        <v>46106</v>
      </c>
      <c r="B158" s="33">
        <v>656.82000732421898</v>
      </c>
      <c r="C158" s="33">
        <v>252.61999511718801</v>
      </c>
      <c r="D158" s="33">
        <v>371.04000854492199</v>
      </c>
      <c r="E158" s="33">
        <v>239.92999267578099</v>
      </c>
      <c r="F158" s="33">
        <v>295.42001342773398</v>
      </c>
      <c r="G158" s="33">
        <v>91.160003662109403</v>
      </c>
      <c r="H158" s="33">
        <v>86.839996337890597</v>
      </c>
      <c r="I158" s="33">
        <v>416.29000854492199</v>
      </c>
      <c r="J158" s="33">
        <v>87.839996337890597</v>
      </c>
      <c r="L158" s="34">
        <f t="shared" si="20"/>
        <v>7.9541900442416102E-3</v>
      </c>
      <c r="N158" s="34">
        <f t="shared" si="21"/>
        <v>5.5727589473866246E-3</v>
      </c>
      <c r="O158" s="34">
        <f t="shared" si="22"/>
        <v>3.8944354232910428E-3</v>
      </c>
      <c r="P158" s="34">
        <f t="shared" si="23"/>
        <v>-4.5607708697531502E-3</v>
      </c>
      <c r="Q158" s="34">
        <f t="shared" si="24"/>
        <v>1.9806980569964105E-2</v>
      </c>
      <c r="R158" s="34">
        <f t="shared" si="25"/>
        <v>1.0328384385394962E-2</v>
      </c>
      <c r="S158" s="34">
        <f t="shared" si="26"/>
        <v>-5.0207276869980166E-3</v>
      </c>
      <c r="T158" s="34">
        <f t="shared" si="27"/>
        <v>9.6499730385481985E-3</v>
      </c>
      <c r="U158" s="34">
        <f t="shared" si="28"/>
        <v>3.0089336389746757E-2</v>
      </c>
      <c r="V158" s="34">
        <f t="shared" si="29"/>
        <v>-7.9635219318030526E-4</v>
      </c>
    </row>
    <row r="159" spans="1:22" ht="15" customHeight="1" x14ac:dyDescent="0.2">
      <c r="A159" s="32">
        <v>46107</v>
      </c>
      <c r="B159" s="33">
        <v>645.09002685546898</v>
      </c>
      <c r="C159" s="33">
        <v>252.88999938964801</v>
      </c>
      <c r="D159" s="33">
        <v>365.97000122070301</v>
      </c>
      <c r="E159" s="33">
        <v>239.24000549316401</v>
      </c>
      <c r="F159" s="33">
        <v>291.66000366210898</v>
      </c>
      <c r="G159" s="33">
        <v>91.160003662109403</v>
      </c>
      <c r="H159" s="33">
        <v>86.110000610351605</v>
      </c>
      <c r="I159" s="33">
        <v>400.64001464843801</v>
      </c>
      <c r="J159" s="33">
        <v>87.720001220703097</v>
      </c>
      <c r="L159" s="34">
        <f t="shared" si="20"/>
        <v>-1.1263970270640036E-2</v>
      </c>
      <c r="N159" s="34">
        <f t="shared" si="21"/>
        <v>-1.7858744158138706E-2</v>
      </c>
      <c r="O159" s="34">
        <f t="shared" si="22"/>
        <v>1.0688159198750657E-3</v>
      </c>
      <c r="P159" s="34">
        <f t="shared" si="23"/>
        <v>-1.3664314379739362E-2</v>
      </c>
      <c r="Q159" s="34">
        <f t="shared" si="24"/>
        <v>-2.875785452756463E-3</v>
      </c>
      <c r="R159" s="34">
        <f t="shared" si="25"/>
        <v>-1.2727674479456996E-2</v>
      </c>
      <c r="S159" s="34">
        <f t="shared" si="26"/>
        <v>0</v>
      </c>
      <c r="T159" s="34">
        <f t="shared" si="27"/>
        <v>-8.4062155495563395E-3</v>
      </c>
      <c r="U159" s="34">
        <f t="shared" si="28"/>
        <v>-3.7593969529045701E-2</v>
      </c>
      <c r="V159" s="34">
        <f t="shared" si="29"/>
        <v>-1.3660646879574134E-3</v>
      </c>
    </row>
    <row r="160" spans="1:22" ht="15" customHeight="1" x14ac:dyDescent="0.2">
      <c r="A160" s="32">
        <v>46108</v>
      </c>
      <c r="B160" s="33">
        <v>634.09002685546898</v>
      </c>
      <c r="C160" s="33">
        <v>248.80000305175801</v>
      </c>
      <c r="D160" s="33">
        <v>356.76998901367199</v>
      </c>
      <c r="E160" s="33">
        <v>240.44999694824199</v>
      </c>
      <c r="F160" s="33">
        <v>282.83999633789102</v>
      </c>
      <c r="G160" s="33">
        <v>91.400001525878906</v>
      </c>
      <c r="H160" s="33">
        <v>85.639999389648395</v>
      </c>
      <c r="I160" s="33">
        <v>414.70001220703102</v>
      </c>
      <c r="J160" s="33">
        <v>87</v>
      </c>
      <c r="L160" s="34">
        <f t="shared" si="20"/>
        <v>-8.8053531875011345E-3</v>
      </c>
      <c r="N160" s="34">
        <f t="shared" si="21"/>
        <v>-1.7051883523327982E-2</v>
      </c>
      <c r="O160" s="34">
        <f t="shared" si="22"/>
        <v>-1.6173025219507475E-2</v>
      </c>
      <c r="P160" s="34">
        <f t="shared" si="23"/>
        <v>-2.5138705840216713E-2</v>
      </c>
      <c r="Q160" s="34">
        <f t="shared" si="24"/>
        <v>5.0576468286887E-3</v>
      </c>
      <c r="R160" s="34">
        <f t="shared" si="25"/>
        <v>-3.024071594827249E-2</v>
      </c>
      <c r="S160" s="34">
        <f t="shared" si="26"/>
        <v>2.6327101154917099E-3</v>
      </c>
      <c r="T160" s="34">
        <f t="shared" si="27"/>
        <v>-5.4581490810802213E-3</v>
      </c>
      <c r="U160" s="34">
        <f t="shared" si="28"/>
        <v>3.509384246336622E-2</v>
      </c>
      <c r="V160" s="34">
        <f t="shared" si="29"/>
        <v>-8.2079481382082431E-3</v>
      </c>
    </row>
    <row r="161" spans="1:22" ht="15" customHeight="1" x14ac:dyDescent="0.2">
      <c r="A161" s="32">
        <v>46111</v>
      </c>
      <c r="B161" s="33">
        <v>631.969970703125</v>
      </c>
      <c r="C161" s="33">
        <v>246.63000488281301</v>
      </c>
      <c r="D161" s="33">
        <v>358.95999145507801</v>
      </c>
      <c r="E161" s="33">
        <v>242.49000549316401</v>
      </c>
      <c r="F161" s="33">
        <v>283.76998901367199</v>
      </c>
      <c r="G161" s="33">
        <v>92.050003051757798</v>
      </c>
      <c r="H161" s="33">
        <v>86.779998779296903</v>
      </c>
      <c r="I161" s="33">
        <v>414.57998657226602</v>
      </c>
      <c r="J161" s="33">
        <v>87.330001831054702</v>
      </c>
      <c r="L161" s="34">
        <f t="shared" si="20"/>
        <v>1.8004106409113649E-3</v>
      </c>
      <c r="N161" s="34">
        <f t="shared" si="21"/>
        <v>-3.3434623831849475E-3</v>
      </c>
      <c r="O161" s="34">
        <f t="shared" si="22"/>
        <v>-8.7218574852411246E-3</v>
      </c>
      <c r="P161" s="34">
        <f t="shared" si="23"/>
        <v>6.1384155305790333E-3</v>
      </c>
      <c r="Q161" s="34">
        <f t="shared" si="24"/>
        <v>8.484127971776001E-3</v>
      </c>
      <c r="R161" s="34">
        <f t="shared" si="25"/>
        <v>3.2880522126366163E-3</v>
      </c>
      <c r="S161" s="34">
        <f t="shared" si="26"/>
        <v>7.11161394997184E-3</v>
      </c>
      <c r="T161" s="34">
        <f t="shared" si="27"/>
        <v>1.3311529633036168E-2</v>
      </c>
      <c r="U161" s="34">
        <f t="shared" si="28"/>
        <v>-2.8942761329142641E-4</v>
      </c>
      <c r="V161" s="34">
        <f t="shared" si="29"/>
        <v>3.7931244948816722E-3</v>
      </c>
    </row>
    <row r="162" spans="1:22" ht="15" customHeight="1" x14ac:dyDescent="0.2">
      <c r="A162" s="32">
        <v>46112</v>
      </c>
      <c r="B162" s="33">
        <v>650.34002685546898</v>
      </c>
      <c r="C162" s="33">
        <v>253.78999328613301</v>
      </c>
      <c r="D162" s="33">
        <v>370.17001342773398</v>
      </c>
      <c r="E162" s="33">
        <v>244.44000244140599</v>
      </c>
      <c r="F162" s="33">
        <v>294.16000366210898</v>
      </c>
      <c r="G162" s="33">
        <v>92.879997253417997</v>
      </c>
      <c r="H162" s="33">
        <v>86.690002441406307</v>
      </c>
      <c r="I162" s="33">
        <v>430.29000854492199</v>
      </c>
      <c r="J162" s="33">
        <v>88.699996948242202</v>
      </c>
      <c r="L162" s="34">
        <f t="shared" si="20"/>
        <v>2.3772832838082188E-2</v>
      </c>
      <c r="N162" s="34">
        <f t="shared" si="21"/>
        <v>2.9067925698915031E-2</v>
      </c>
      <c r="O162" s="34">
        <f t="shared" si="22"/>
        <v>2.9031294901535221E-2</v>
      </c>
      <c r="P162" s="34">
        <f t="shared" si="23"/>
        <v>3.122916826249944E-2</v>
      </c>
      <c r="Q162" s="34">
        <f t="shared" si="24"/>
        <v>8.0415559572286632E-3</v>
      </c>
      <c r="R162" s="34">
        <f t="shared" si="25"/>
        <v>3.6614212392757306E-2</v>
      </c>
      <c r="S162" s="34">
        <f t="shared" si="26"/>
        <v>9.0167753844996312E-3</v>
      </c>
      <c r="T162" s="34">
        <f t="shared" si="27"/>
        <v>-1.0370631384712947E-3</v>
      </c>
      <c r="U162" s="34">
        <f t="shared" si="28"/>
        <v>3.7893826237358708E-2</v>
      </c>
      <c r="V162" s="34">
        <f t="shared" si="29"/>
        <v>1.5687565423825767E-2</v>
      </c>
    </row>
    <row r="163" spans="1:22" ht="15" customHeight="1" x14ac:dyDescent="0.2">
      <c r="A163" s="32">
        <v>46113</v>
      </c>
      <c r="B163" s="33">
        <v>655.239990234375</v>
      </c>
      <c r="C163" s="33">
        <v>255.63000488281301</v>
      </c>
      <c r="D163" s="33">
        <v>369.36999511718801</v>
      </c>
      <c r="E163" s="33">
        <v>244.11999511718801</v>
      </c>
      <c r="F163" s="33">
        <v>295.38000488281301</v>
      </c>
      <c r="G163" s="33">
        <v>92.849998474121094</v>
      </c>
      <c r="H163" s="33">
        <v>86.260002136230497</v>
      </c>
      <c r="I163" s="33">
        <v>437.82000732421898</v>
      </c>
      <c r="J163" s="33">
        <v>89.019996643066406</v>
      </c>
      <c r="L163" s="34">
        <f t="shared" si="20"/>
        <v>4.1396896349550436E-3</v>
      </c>
      <c r="N163" s="34">
        <f t="shared" si="21"/>
        <v>7.5344637828895777E-3</v>
      </c>
      <c r="O163" s="34">
        <f t="shared" si="22"/>
        <v>7.2501345417725904E-3</v>
      </c>
      <c r="P163" s="34">
        <f t="shared" si="23"/>
        <v>-2.1612185793707939E-3</v>
      </c>
      <c r="Q163" s="34">
        <f t="shared" si="24"/>
        <v>-1.3091446613558988E-3</v>
      </c>
      <c r="R163" s="34">
        <f t="shared" si="25"/>
        <v>4.1474068721640833E-3</v>
      </c>
      <c r="S163" s="34">
        <f t="shared" si="26"/>
        <v>-3.2298428277355296E-4</v>
      </c>
      <c r="T163" s="34">
        <f t="shared" si="27"/>
        <v>-4.9602064028830828E-3</v>
      </c>
      <c r="U163" s="34">
        <f t="shared" si="28"/>
        <v>1.7499822514495778E-2</v>
      </c>
      <c r="V163" s="34">
        <f t="shared" si="29"/>
        <v>3.6076629744523636E-3</v>
      </c>
    </row>
    <row r="164" spans="1:22" ht="15" customHeight="1" x14ac:dyDescent="0.2">
      <c r="A164" s="32">
        <v>46114</v>
      </c>
      <c r="B164" s="33">
        <v>655.83001708984398</v>
      </c>
      <c r="C164" s="33">
        <v>255.919998168945</v>
      </c>
      <c r="D164" s="33">
        <v>373.45999145507801</v>
      </c>
      <c r="E164" s="33">
        <v>243.03999328613301</v>
      </c>
      <c r="F164" s="33">
        <v>294.60000610351602</v>
      </c>
      <c r="G164" s="33">
        <v>93.150001525878906</v>
      </c>
      <c r="H164" s="33">
        <v>86.790000915527301</v>
      </c>
      <c r="I164" s="33">
        <v>429.41000366210898</v>
      </c>
      <c r="J164" s="33">
        <v>90.230003356933594</v>
      </c>
      <c r="L164" s="34">
        <f t="shared" si="20"/>
        <v>8.5733152611063815E-4</v>
      </c>
      <c r="N164" s="34">
        <f t="shared" si="21"/>
        <v>9.0047442809160216E-4</v>
      </c>
      <c r="O164" s="34">
        <f t="shared" si="22"/>
        <v>1.1344258521801542E-3</v>
      </c>
      <c r="P164" s="34">
        <f t="shared" si="23"/>
        <v>1.1072898156203381E-2</v>
      </c>
      <c r="Q164" s="34">
        <f t="shared" si="24"/>
        <v>-4.4240613331839596E-3</v>
      </c>
      <c r="R164" s="34">
        <f t="shared" si="25"/>
        <v>-2.6406620841056272E-3</v>
      </c>
      <c r="S164" s="34">
        <f t="shared" si="26"/>
        <v>3.23105069130869E-3</v>
      </c>
      <c r="T164" s="34">
        <f t="shared" si="27"/>
        <v>6.1442008598582287E-3</v>
      </c>
      <c r="U164" s="34">
        <f t="shared" si="28"/>
        <v>-1.9208815315473138E-2</v>
      </c>
      <c r="V164" s="34">
        <f t="shared" si="29"/>
        <v>1.3592527066910831E-2</v>
      </c>
    </row>
    <row r="165" spans="1:22" ht="15" customHeight="1" x14ac:dyDescent="0.2">
      <c r="A165" s="32">
        <v>46118</v>
      </c>
      <c r="B165" s="33">
        <v>658.92999267578102</v>
      </c>
      <c r="C165" s="33">
        <v>258.85998535156301</v>
      </c>
      <c r="D165" s="33">
        <v>372.88000488281301</v>
      </c>
      <c r="E165" s="33">
        <v>240.97000122070301</v>
      </c>
      <c r="F165" s="33">
        <v>295.45001220703102</v>
      </c>
      <c r="G165" s="33">
        <v>92.730003356933594</v>
      </c>
      <c r="H165" s="33">
        <v>86.650001525878906</v>
      </c>
      <c r="I165" s="33">
        <v>427.64999389648398</v>
      </c>
      <c r="J165" s="33">
        <v>90.360000610351605</v>
      </c>
      <c r="L165" s="34">
        <f t="shared" si="20"/>
        <v>1.3113797545599884E-3</v>
      </c>
      <c r="N165" s="34">
        <f t="shared" si="21"/>
        <v>4.726797348637346E-3</v>
      </c>
      <c r="O165" s="34">
        <f t="shared" si="22"/>
        <v>1.1487914987703185E-2</v>
      </c>
      <c r="P165" s="34">
        <f t="shared" si="23"/>
        <v>-1.5530085833431739E-3</v>
      </c>
      <c r="Q165" s="34">
        <f t="shared" si="24"/>
        <v>-8.517084112132034E-3</v>
      </c>
      <c r="R165" s="34">
        <f t="shared" si="25"/>
        <v>2.885288818413434E-3</v>
      </c>
      <c r="S165" s="34">
        <f t="shared" si="26"/>
        <v>-4.508836951855888E-3</v>
      </c>
      <c r="T165" s="34">
        <f t="shared" si="27"/>
        <v>-1.6130820160338288E-3</v>
      </c>
      <c r="U165" s="34">
        <f t="shared" si="28"/>
        <v>-4.0986696877465256E-3</v>
      </c>
      <c r="V165" s="34">
        <f t="shared" si="29"/>
        <v>1.4407320024556469E-3</v>
      </c>
    </row>
    <row r="166" spans="1:22" ht="15" customHeight="1" x14ac:dyDescent="0.2">
      <c r="A166" s="32">
        <v>46119</v>
      </c>
      <c r="B166" s="33">
        <v>659.219970703125</v>
      </c>
      <c r="C166" s="33">
        <v>253.5</v>
      </c>
      <c r="D166" s="33">
        <v>372.29000854492199</v>
      </c>
      <c r="E166" s="33">
        <v>238.41000366210901</v>
      </c>
      <c r="F166" s="33">
        <v>297.39999389648398</v>
      </c>
      <c r="G166" s="33">
        <v>93.669998168945298</v>
      </c>
      <c r="H166" s="33">
        <v>86.639999389648395</v>
      </c>
      <c r="I166" s="33">
        <v>431.80999755859398</v>
      </c>
      <c r="J166" s="33">
        <v>90.489997863769503</v>
      </c>
      <c r="L166" s="34">
        <f t="shared" si="20"/>
        <v>-2.5265593720999405E-3</v>
      </c>
      <c r="N166" s="34">
        <f t="shared" si="21"/>
        <v>4.4007410584923079E-4</v>
      </c>
      <c r="O166" s="34">
        <f t="shared" si="22"/>
        <v>-2.0706117804509261E-2</v>
      </c>
      <c r="P166" s="34">
        <f t="shared" si="23"/>
        <v>-1.5822686391468999E-3</v>
      </c>
      <c r="Q166" s="34">
        <f t="shared" si="24"/>
        <v>-1.0623718909514079E-2</v>
      </c>
      <c r="R166" s="34">
        <f t="shared" si="25"/>
        <v>6.6000392922189732E-3</v>
      </c>
      <c r="S166" s="34">
        <f t="shared" si="26"/>
        <v>1.0136900441958474E-2</v>
      </c>
      <c r="T166" s="34">
        <f t="shared" si="27"/>
        <v>-1.1543146052372943E-4</v>
      </c>
      <c r="U166" s="34">
        <f t="shared" si="28"/>
        <v>9.7275896679118734E-3</v>
      </c>
      <c r="V166" s="34">
        <f t="shared" si="29"/>
        <v>1.4386592799890963E-3</v>
      </c>
    </row>
    <row r="167" spans="1:22" ht="15" customHeight="1" x14ac:dyDescent="0.2">
      <c r="A167" s="32">
        <v>46120</v>
      </c>
      <c r="B167" s="33">
        <v>676.010009765625</v>
      </c>
      <c r="C167" s="33">
        <v>258.89999389648398</v>
      </c>
      <c r="D167" s="33">
        <v>374.32998657226602</v>
      </c>
      <c r="E167" s="33">
        <v>241.30000305175801</v>
      </c>
      <c r="F167" s="33">
        <v>307.97000122070301</v>
      </c>
      <c r="G167" s="33">
        <v>94.169998168945298</v>
      </c>
      <c r="H167" s="33">
        <v>86.919998168945298</v>
      </c>
      <c r="I167" s="33">
        <v>434.52999877929699</v>
      </c>
      <c r="J167" s="33">
        <v>92.120002746582003</v>
      </c>
      <c r="L167" s="34">
        <f t="shared" si="20"/>
        <v>1.6124665526581827E-2</v>
      </c>
      <c r="N167" s="34">
        <f t="shared" si="21"/>
        <v>2.5469554638327674E-2</v>
      </c>
      <c r="O167" s="34">
        <f t="shared" si="22"/>
        <v>2.1301751070942787E-2</v>
      </c>
      <c r="P167" s="34">
        <f t="shared" si="23"/>
        <v>5.4795400911165082E-3</v>
      </c>
      <c r="Q167" s="34">
        <f t="shared" si="24"/>
        <v>1.2121972003091397E-2</v>
      </c>
      <c r="R167" s="34">
        <f t="shared" si="25"/>
        <v>3.5541383796726445E-2</v>
      </c>
      <c r="S167" s="34">
        <f t="shared" si="26"/>
        <v>5.3378884357206946E-3</v>
      </c>
      <c r="T167" s="34">
        <f t="shared" si="27"/>
        <v>3.2317495529710083E-3</v>
      </c>
      <c r="U167" s="34">
        <f t="shared" si="28"/>
        <v>6.2990695817177755E-3</v>
      </c>
      <c r="V167" s="34">
        <f t="shared" si="29"/>
        <v>1.8013094499863103E-2</v>
      </c>
    </row>
    <row r="168" spans="1:22" ht="15" customHeight="1" x14ac:dyDescent="0.2">
      <c r="A168" s="32">
        <v>46121</v>
      </c>
      <c r="B168" s="33">
        <v>679.90997314453102</v>
      </c>
      <c r="C168" s="33">
        <v>260.489990234375</v>
      </c>
      <c r="D168" s="33">
        <v>373.07000732421898</v>
      </c>
      <c r="E168" s="33">
        <v>241.30999755859401</v>
      </c>
      <c r="F168" s="33">
        <v>310.32998657226602</v>
      </c>
      <c r="G168" s="33">
        <v>94.480003356933594</v>
      </c>
      <c r="H168" s="33">
        <v>86.699996948242202</v>
      </c>
      <c r="I168" s="33">
        <v>437.91000366210898</v>
      </c>
      <c r="J168" s="33">
        <v>92.779998779296903</v>
      </c>
      <c r="L168" s="34">
        <f t="shared" si="20"/>
        <v>3.5930849562057568E-3</v>
      </c>
      <c r="N168" s="34">
        <f t="shared" si="21"/>
        <v>5.7690911710881476E-3</v>
      </c>
      <c r="O168" s="34">
        <f t="shared" si="22"/>
        <v>6.1413533231937656E-3</v>
      </c>
      <c r="P168" s="34">
        <f t="shared" si="23"/>
        <v>-3.3659586280667675E-3</v>
      </c>
      <c r="Q168" s="34">
        <f t="shared" si="24"/>
        <v>4.1419422750044177E-5</v>
      </c>
      <c r="R168" s="34">
        <f t="shared" si="25"/>
        <v>7.6630364717624744E-3</v>
      </c>
      <c r="S168" s="34">
        <f t="shared" si="26"/>
        <v>3.2919740258690044E-3</v>
      </c>
      <c r="T168" s="34">
        <f t="shared" si="27"/>
        <v>-2.5310771437832003E-3</v>
      </c>
      <c r="U168" s="34">
        <f t="shared" si="28"/>
        <v>7.7785305785729175E-3</v>
      </c>
      <c r="V168" s="34">
        <f t="shared" si="29"/>
        <v>7.1645246747389368E-3</v>
      </c>
    </row>
    <row r="169" spans="1:22" ht="15" customHeight="1" x14ac:dyDescent="0.2">
      <c r="A169" s="32">
        <v>46122</v>
      </c>
      <c r="B169" s="33">
        <v>679.46002197265602</v>
      </c>
      <c r="C169" s="33">
        <v>260.48001098632801</v>
      </c>
      <c r="D169" s="33">
        <v>370.86999511718801</v>
      </c>
      <c r="E169" s="33">
        <v>238.46000671386699</v>
      </c>
      <c r="F169" s="33">
        <v>309.86999511718801</v>
      </c>
      <c r="G169" s="33">
        <v>94.080001831054702</v>
      </c>
      <c r="H169" s="33">
        <v>86.489997863769503</v>
      </c>
      <c r="I169" s="33">
        <v>437.13000488281301</v>
      </c>
      <c r="J169" s="33">
        <v>92.980003356933594</v>
      </c>
      <c r="L169" s="34">
        <f t="shared" si="20"/>
        <v>-2.700458962062678E-3</v>
      </c>
      <c r="N169" s="34">
        <f t="shared" si="21"/>
        <v>-6.6178051454957032E-4</v>
      </c>
      <c r="O169" s="34">
        <f t="shared" si="22"/>
        <v>-3.8309525974500325E-5</v>
      </c>
      <c r="P169" s="34">
        <f t="shared" si="23"/>
        <v>-5.8970492503811478E-3</v>
      </c>
      <c r="Q169" s="34">
        <f t="shared" si="24"/>
        <v>-1.1810496347276267E-2</v>
      </c>
      <c r="R169" s="34">
        <f t="shared" si="25"/>
        <v>-1.4822655720732048E-3</v>
      </c>
      <c r="S169" s="34">
        <f t="shared" si="26"/>
        <v>-4.2337162538800266E-3</v>
      </c>
      <c r="T169" s="34">
        <f t="shared" si="27"/>
        <v>-2.4221348542614596E-3</v>
      </c>
      <c r="U169" s="34">
        <f t="shared" si="28"/>
        <v>-1.7811851128612943E-3</v>
      </c>
      <c r="V169" s="34">
        <f t="shared" si="29"/>
        <v>2.1556863577079088E-3</v>
      </c>
    </row>
    <row r="170" spans="1:22" ht="15" customHeight="1" x14ac:dyDescent="0.2">
      <c r="A170" s="32">
        <v>46125</v>
      </c>
      <c r="B170" s="33">
        <v>686.09997558593795</v>
      </c>
      <c r="C170" s="33">
        <v>259.20001220703102</v>
      </c>
      <c r="D170" s="33">
        <v>384.36999511718801</v>
      </c>
      <c r="E170" s="33">
        <v>237.96000671386699</v>
      </c>
      <c r="F170" s="33">
        <v>313.67999267578102</v>
      </c>
      <c r="G170" s="33">
        <v>92.300003051757798</v>
      </c>
      <c r="H170" s="33">
        <v>86.75</v>
      </c>
      <c r="I170" s="33">
        <v>435.35998535156301</v>
      </c>
      <c r="J170" s="33">
        <v>93.330001831054702</v>
      </c>
      <c r="L170" s="34">
        <f t="shared" si="20"/>
        <v>5.9337862837992453E-3</v>
      </c>
      <c r="N170" s="34">
        <f t="shared" si="21"/>
        <v>9.7723977843529042E-3</v>
      </c>
      <c r="O170" s="34">
        <f t="shared" si="22"/>
        <v>-4.9140000203861112E-3</v>
      </c>
      <c r="P170" s="34">
        <f t="shared" si="23"/>
        <v>3.6400895671633515E-2</v>
      </c>
      <c r="Q170" s="34">
        <f t="shared" si="24"/>
        <v>-2.096787662175803E-3</v>
      </c>
      <c r="R170" s="34">
        <f t="shared" si="25"/>
        <v>1.229547106408968E-2</v>
      </c>
      <c r="S170" s="34">
        <f t="shared" si="26"/>
        <v>-1.8920054683814302E-2</v>
      </c>
      <c r="T170" s="34">
        <f t="shared" si="27"/>
        <v>3.0061526494662427E-3</v>
      </c>
      <c r="U170" s="34">
        <f t="shared" si="28"/>
        <v>-4.0491833355720264E-3</v>
      </c>
      <c r="V170" s="34">
        <f t="shared" si="29"/>
        <v>3.7642338296925981E-3</v>
      </c>
    </row>
    <row r="171" spans="1:22" ht="15" customHeight="1" x14ac:dyDescent="0.2">
      <c r="A171" s="32">
        <v>46126</v>
      </c>
      <c r="B171" s="33">
        <v>694.46002197265602</v>
      </c>
      <c r="C171" s="33">
        <v>258.82998657226602</v>
      </c>
      <c r="D171" s="33">
        <v>393.10998535156301</v>
      </c>
      <c r="E171" s="33">
        <v>240.10000610351599</v>
      </c>
      <c r="F171" s="33">
        <v>311.11999511718801</v>
      </c>
      <c r="G171" s="33">
        <v>91.309997558593807</v>
      </c>
      <c r="H171" s="33">
        <v>87.209999084472699</v>
      </c>
      <c r="I171" s="33">
        <v>445.08999633789102</v>
      </c>
      <c r="J171" s="33">
        <v>94.220001220703097</v>
      </c>
      <c r="L171" s="34">
        <f t="shared" si="20"/>
        <v>8.2669931959768825E-3</v>
      </c>
      <c r="N171" s="34">
        <f t="shared" si="21"/>
        <v>1.2184880752369232E-2</v>
      </c>
      <c r="O171" s="34">
        <f t="shared" si="22"/>
        <v>-1.4275679681274855E-3</v>
      </c>
      <c r="P171" s="34">
        <f t="shared" si="23"/>
        <v>2.2738482049594833E-2</v>
      </c>
      <c r="Q171" s="34">
        <f t="shared" si="24"/>
        <v>8.9931052667275857E-3</v>
      </c>
      <c r="R171" s="34">
        <f t="shared" si="25"/>
        <v>-8.1611757790335249E-3</v>
      </c>
      <c r="S171" s="34">
        <f t="shared" si="26"/>
        <v>-1.0725952984084297E-2</v>
      </c>
      <c r="T171" s="34">
        <f t="shared" si="27"/>
        <v>5.3025831063135964E-3</v>
      </c>
      <c r="U171" s="34">
        <f t="shared" si="28"/>
        <v>2.234934608992778E-2</v>
      </c>
      <c r="V171" s="34">
        <f t="shared" si="29"/>
        <v>9.536048132297914E-3</v>
      </c>
    </row>
    <row r="172" spans="1:22" ht="15" customHeight="1" x14ac:dyDescent="0.2">
      <c r="A172" s="32">
        <v>46127</v>
      </c>
      <c r="B172" s="33">
        <v>699.94000244140602</v>
      </c>
      <c r="C172" s="33">
        <v>266.42999267578102</v>
      </c>
      <c r="D172" s="33">
        <v>411.22000122070301</v>
      </c>
      <c r="E172" s="33">
        <v>238.669998168945</v>
      </c>
      <c r="F172" s="33">
        <v>305.92999267578102</v>
      </c>
      <c r="G172" s="33">
        <v>91.239997863769503</v>
      </c>
      <c r="H172" s="33">
        <v>86.830001831054702</v>
      </c>
      <c r="I172" s="33">
        <v>440.45999145507801</v>
      </c>
      <c r="J172" s="33">
        <v>94.290000915527301</v>
      </c>
      <c r="L172" s="34">
        <f t="shared" si="20"/>
        <v>8.5429296540812504E-3</v>
      </c>
      <c r="N172" s="34">
        <f t="shared" si="21"/>
        <v>7.8909948670389252E-3</v>
      </c>
      <c r="O172" s="34">
        <f t="shared" si="22"/>
        <v>2.9362927395559124E-2</v>
      </c>
      <c r="P172" s="34">
        <f t="shared" si="23"/>
        <v>4.6068572521616336E-2</v>
      </c>
      <c r="Q172" s="34">
        <f t="shared" si="24"/>
        <v>-5.9558846239864405E-3</v>
      </c>
      <c r="R172" s="34">
        <f t="shared" si="25"/>
        <v>-1.668167434707013E-2</v>
      </c>
      <c r="S172" s="34">
        <f t="shared" si="26"/>
        <v>-7.6661588759086019E-4</v>
      </c>
      <c r="T172" s="34">
        <f t="shared" si="27"/>
        <v>-4.3572670267996161E-3</v>
      </c>
      <c r="U172" s="34">
        <f t="shared" si="28"/>
        <v>-1.040240158374206E-2</v>
      </c>
      <c r="V172" s="34">
        <f t="shared" si="29"/>
        <v>7.4293880192422002E-4</v>
      </c>
    </row>
    <row r="173" spans="1:22" ht="15" customHeight="1" x14ac:dyDescent="0.2">
      <c r="A173" s="32">
        <v>46128</v>
      </c>
      <c r="B173" s="33">
        <v>701.65997314453102</v>
      </c>
      <c r="C173" s="33">
        <v>263.39999389648398</v>
      </c>
      <c r="D173" s="33">
        <v>420.260009765625</v>
      </c>
      <c r="E173" s="33">
        <v>234.53999328613301</v>
      </c>
      <c r="F173" s="33">
        <v>309.95001220703102</v>
      </c>
      <c r="G173" s="33">
        <v>91.830001831054702</v>
      </c>
      <c r="H173" s="33">
        <v>86.279998779296903</v>
      </c>
      <c r="I173" s="33">
        <v>440.07998657226602</v>
      </c>
      <c r="J173" s="33">
        <v>95.160003662109403</v>
      </c>
      <c r="L173" s="34">
        <f t="shared" si="20"/>
        <v>9.4531750641199132E-4</v>
      </c>
      <c r="N173" s="34">
        <f t="shared" si="21"/>
        <v>2.457311622604319E-3</v>
      </c>
      <c r="O173" s="34">
        <f t="shared" si="22"/>
        <v>-1.1372588907376691E-2</v>
      </c>
      <c r="P173" s="34">
        <f t="shared" si="23"/>
        <v>2.1983387281958144E-2</v>
      </c>
      <c r="Q173" s="34">
        <f t="shared" si="24"/>
        <v>-1.7304248185767035E-2</v>
      </c>
      <c r="R173" s="34">
        <f t="shared" si="25"/>
        <v>1.3140325000793096E-2</v>
      </c>
      <c r="S173" s="34">
        <f t="shared" si="26"/>
        <v>6.4665057113013624E-3</v>
      </c>
      <c r="T173" s="34">
        <f t="shared" si="27"/>
        <v>-6.3342512974713383E-3</v>
      </c>
      <c r="U173" s="34">
        <f t="shared" si="28"/>
        <v>-8.6274551646936537E-4</v>
      </c>
      <c r="V173" s="34">
        <f t="shared" si="29"/>
        <v>9.2268823643508746E-3</v>
      </c>
    </row>
    <row r="174" spans="1:22" ht="15" customHeight="1" x14ac:dyDescent="0.2">
      <c r="A174" s="32">
        <v>46129</v>
      </c>
      <c r="B174" s="33">
        <v>710.14001464843795</v>
      </c>
      <c r="C174" s="33">
        <v>270.23001098632801</v>
      </c>
      <c r="D174" s="33">
        <v>422.79000854492199</v>
      </c>
      <c r="E174" s="33">
        <v>234.17999267578099</v>
      </c>
      <c r="F174" s="33">
        <v>310.29000854492199</v>
      </c>
      <c r="G174" s="33">
        <v>91.980003356933594</v>
      </c>
      <c r="H174" s="33">
        <v>87.069999694824205</v>
      </c>
      <c r="I174" s="33">
        <v>445.92999267578102</v>
      </c>
      <c r="J174" s="33">
        <v>96.680000305175795</v>
      </c>
      <c r="L174" s="34">
        <f t="shared" si="20"/>
        <v>1.0847511796071338E-2</v>
      </c>
      <c r="N174" s="34">
        <f t="shared" si="21"/>
        <v>1.2085685130224899E-2</v>
      </c>
      <c r="O174" s="34">
        <f t="shared" si="22"/>
        <v>2.5930209749846167E-2</v>
      </c>
      <c r="P174" s="34">
        <f t="shared" si="23"/>
        <v>6.0200797613552126E-3</v>
      </c>
      <c r="Q174" s="34">
        <f t="shared" si="24"/>
        <v>-1.5349220630053173E-3</v>
      </c>
      <c r="R174" s="34">
        <f t="shared" si="25"/>
        <v>1.0969392627862007E-3</v>
      </c>
      <c r="S174" s="34">
        <f t="shared" si="26"/>
        <v>1.6334697036688439E-3</v>
      </c>
      <c r="T174" s="34">
        <f t="shared" si="27"/>
        <v>9.1562462529479749E-3</v>
      </c>
      <c r="U174" s="34">
        <f t="shared" si="28"/>
        <v>1.3293051904223141E-2</v>
      </c>
      <c r="V174" s="34">
        <f t="shared" si="29"/>
        <v>1.5973062048878717E-2</v>
      </c>
    </row>
    <row r="175" spans="1:22" ht="15" customHeight="1" x14ac:dyDescent="0.2">
      <c r="A175" s="32">
        <v>46132</v>
      </c>
      <c r="B175" s="33">
        <v>708.719970703125</v>
      </c>
      <c r="C175" s="33">
        <v>273.04998779296898</v>
      </c>
      <c r="D175" s="33">
        <v>418.07000732421898</v>
      </c>
      <c r="E175" s="33">
        <v>230.69000244140599</v>
      </c>
      <c r="F175" s="33">
        <v>316.989990234375</v>
      </c>
      <c r="G175" s="33">
        <v>92.010002136230497</v>
      </c>
      <c r="H175" s="33">
        <v>87.050003051757798</v>
      </c>
      <c r="I175" s="33">
        <v>442.08999633789102</v>
      </c>
      <c r="J175" s="33">
        <v>97.029998779296903</v>
      </c>
      <c r="L175" s="34">
        <f t="shared" si="20"/>
        <v>-3.0982332850699302E-4</v>
      </c>
      <c r="N175" s="34">
        <f t="shared" si="21"/>
        <v>-1.9996675529063701E-3</v>
      </c>
      <c r="O175" s="34">
        <f t="shared" si="22"/>
        <v>1.0435468645203949E-2</v>
      </c>
      <c r="P175" s="34">
        <f t="shared" si="23"/>
        <v>-1.1163937475597852E-2</v>
      </c>
      <c r="Q175" s="34">
        <f t="shared" si="24"/>
        <v>-1.4903024782338403E-2</v>
      </c>
      <c r="R175" s="34">
        <f t="shared" si="25"/>
        <v>2.1592643994152505E-2</v>
      </c>
      <c r="S175" s="34">
        <f t="shared" si="26"/>
        <v>3.2614457710433697E-4</v>
      </c>
      <c r="T175" s="34">
        <f t="shared" si="27"/>
        <v>-2.2966168756743954E-4</v>
      </c>
      <c r="U175" s="34">
        <f t="shared" si="28"/>
        <v>-8.6112089362913036E-3</v>
      </c>
      <c r="V175" s="34">
        <f t="shared" si="29"/>
        <v>3.6201745243722439E-3</v>
      </c>
    </row>
    <row r="176" spans="1:22" ht="15" customHeight="1" x14ac:dyDescent="0.2">
      <c r="A176" s="32">
        <v>46133</v>
      </c>
      <c r="B176" s="33">
        <v>704.08001708984398</v>
      </c>
      <c r="C176" s="33">
        <v>266.17001342773398</v>
      </c>
      <c r="D176" s="33">
        <v>424.16000366210898</v>
      </c>
      <c r="E176" s="33">
        <v>226.16000366210901</v>
      </c>
      <c r="F176" s="33">
        <v>313</v>
      </c>
      <c r="G176" s="33">
        <v>90.599998474121094</v>
      </c>
      <c r="H176" s="33">
        <v>86.569999694824205</v>
      </c>
      <c r="I176" s="33">
        <v>429.57000732421898</v>
      </c>
      <c r="J176" s="33">
        <v>95.309997558593807</v>
      </c>
      <c r="L176" s="34">
        <f t="shared" si="20"/>
        <v>-1.217249845534699E-2</v>
      </c>
      <c r="N176" s="34">
        <f t="shared" si="21"/>
        <v>-6.5469491549359216E-3</v>
      </c>
      <c r="O176" s="34">
        <f t="shared" si="22"/>
        <v>-2.5196757637108935E-2</v>
      </c>
      <c r="P176" s="34">
        <f t="shared" si="23"/>
        <v>1.4566929536198758E-2</v>
      </c>
      <c r="Q176" s="34">
        <f t="shared" si="24"/>
        <v>-1.9636736448722325E-2</v>
      </c>
      <c r="R176" s="34">
        <f t="shared" si="25"/>
        <v>-1.2587117439969986E-2</v>
      </c>
      <c r="S176" s="34">
        <f t="shared" si="26"/>
        <v>-1.5324460703975862E-2</v>
      </c>
      <c r="T176" s="34">
        <f t="shared" si="27"/>
        <v>-5.5141107421695645E-3</v>
      </c>
      <c r="U176" s="34">
        <f t="shared" si="28"/>
        <v>-2.8320000717914851E-2</v>
      </c>
      <c r="V176" s="34">
        <f t="shared" si="29"/>
        <v>-1.7726489151209668E-2</v>
      </c>
    </row>
    <row r="177" spans="1:22" ht="15" customHeight="1" x14ac:dyDescent="0.2">
      <c r="A177" s="32">
        <v>46134</v>
      </c>
      <c r="B177" s="33">
        <v>711.21002197265602</v>
      </c>
      <c r="C177" s="33">
        <v>273.17001342773398</v>
      </c>
      <c r="D177" s="33">
        <v>432.92001342773398</v>
      </c>
      <c r="E177" s="33">
        <v>226.10000610351599</v>
      </c>
      <c r="F177" s="33">
        <v>313.01998901367199</v>
      </c>
      <c r="G177" s="33">
        <v>90</v>
      </c>
      <c r="H177" s="33">
        <v>86.739997863769503</v>
      </c>
      <c r="I177" s="33">
        <v>435.260009765625</v>
      </c>
      <c r="J177" s="33">
        <v>94.519996643066406</v>
      </c>
      <c r="L177" s="34">
        <f t="shared" si="20"/>
        <v>9.5444687852961098E-3</v>
      </c>
      <c r="N177" s="34">
        <f t="shared" si="21"/>
        <v>1.0126696838069993E-2</v>
      </c>
      <c r="O177" s="34">
        <f t="shared" si="22"/>
        <v>2.629898052697266E-2</v>
      </c>
      <c r="P177" s="34">
        <f t="shared" si="23"/>
        <v>2.0652606775728222E-2</v>
      </c>
      <c r="Q177" s="34">
        <f t="shared" si="24"/>
        <v>-2.6528810409220949E-4</v>
      </c>
      <c r="R177" s="34">
        <f t="shared" si="25"/>
        <v>6.3862663488789551E-5</v>
      </c>
      <c r="S177" s="34">
        <f t="shared" si="26"/>
        <v>-6.6224998258965773E-3</v>
      </c>
      <c r="T177" s="34">
        <f t="shared" si="27"/>
        <v>1.9637076301788348E-3</v>
      </c>
      <c r="U177" s="34">
        <f t="shared" si="28"/>
        <v>1.3245809401007502E-2</v>
      </c>
      <c r="V177" s="34">
        <f t="shared" si="29"/>
        <v>-8.2887518178953457E-3</v>
      </c>
    </row>
    <row r="178" spans="1:22" ht="15" customHeight="1" x14ac:dyDescent="0.2">
      <c r="A178" s="32">
        <v>46135</v>
      </c>
      <c r="B178" s="33">
        <v>708.45001220703102</v>
      </c>
      <c r="C178" s="33">
        <v>273.42999267578102</v>
      </c>
      <c r="D178" s="33">
        <v>415.75</v>
      </c>
      <c r="E178" s="33">
        <v>230.64999389648401</v>
      </c>
      <c r="F178" s="33">
        <v>311.69000244140602</v>
      </c>
      <c r="G178" s="33">
        <v>96.25</v>
      </c>
      <c r="H178" s="33">
        <v>86.550003051757798</v>
      </c>
      <c r="I178" s="33">
        <v>431.04000854492199</v>
      </c>
      <c r="J178" s="33">
        <v>95.489997863769503</v>
      </c>
      <c r="L178" s="34">
        <f t="shared" si="20"/>
        <v>-1.4120759740815481E-3</v>
      </c>
      <c r="N178" s="34">
        <f t="shared" si="21"/>
        <v>-3.8807239498251933E-3</v>
      </c>
      <c r="O178" s="34">
        <f t="shared" si="22"/>
        <v>9.517122497628705E-4</v>
      </c>
      <c r="P178" s="34">
        <f t="shared" si="23"/>
        <v>-3.9660937113502381E-2</v>
      </c>
      <c r="Q178" s="34">
        <f t="shared" si="24"/>
        <v>2.012378447652452E-2</v>
      </c>
      <c r="R178" s="34">
        <f t="shared" si="25"/>
        <v>-4.248887032603732E-3</v>
      </c>
      <c r="S178" s="34">
        <f t="shared" si="26"/>
        <v>6.944444444444442E-2</v>
      </c>
      <c r="T178" s="34">
        <f t="shared" si="27"/>
        <v>-2.1903944741860082E-3</v>
      </c>
      <c r="U178" s="34">
        <f t="shared" si="28"/>
        <v>-9.6953570877676976E-3</v>
      </c>
      <c r="V178" s="34">
        <f t="shared" si="29"/>
        <v>1.0262391611862709E-2</v>
      </c>
    </row>
    <row r="179" spans="1:22" ht="15" customHeight="1" x14ac:dyDescent="0.2">
      <c r="A179" s="32">
        <v>46136</v>
      </c>
      <c r="B179" s="33">
        <v>713.94000244140602</v>
      </c>
      <c r="C179" s="33">
        <v>271.05999755859398</v>
      </c>
      <c r="D179" s="33">
        <v>424.61999511718801</v>
      </c>
      <c r="E179" s="33">
        <v>227.5</v>
      </c>
      <c r="F179" s="33">
        <v>308.27999877929699</v>
      </c>
      <c r="G179" s="33">
        <v>95.279998779296903</v>
      </c>
      <c r="H179" s="33">
        <v>86.709999084472699</v>
      </c>
      <c r="I179" s="33">
        <v>433.25</v>
      </c>
      <c r="J179" s="33">
        <v>95.300003051757798</v>
      </c>
      <c r="L179" s="34">
        <f t="shared" si="20"/>
        <v>4.9067085122171498E-4</v>
      </c>
      <c r="N179" s="34">
        <f t="shared" si="21"/>
        <v>7.7492979600242151E-3</v>
      </c>
      <c r="O179" s="34">
        <f t="shared" si="22"/>
        <v>-8.6676486876743342E-3</v>
      </c>
      <c r="P179" s="34">
        <f t="shared" si="23"/>
        <v>2.1334925116507586E-2</v>
      </c>
      <c r="Q179" s="34">
        <f t="shared" si="24"/>
        <v>-1.3657030044829432E-2</v>
      </c>
      <c r="R179" s="34">
        <f t="shared" si="25"/>
        <v>-1.0940369069906475E-2</v>
      </c>
      <c r="S179" s="34">
        <f t="shared" si="26"/>
        <v>-1.0077934760551632E-2</v>
      </c>
      <c r="T179" s="34">
        <f t="shared" si="27"/>
        <v>1.8485964999819249E-3</v>
      </c>
      <c r="U179" s="34">
        <f t="shared" si="28"/>
        <v>5.1271144470750318E-3</v>
      </c>
      <c r="V179" s="34">
        <f t="shared" si="29"/>
        <v>-1.9896828595886706E-3</v>
      </c>
    </row>
    <row r="180" spans="1:22" ht="15" customHeight="1" x14ac:dyDescent="0.2">
      <c r="A180" s="32">
        <v>46139</v>
      </c>
      <c r="B180" s="33">
        <v>715.16998291015602</v>
      </c>
      <c r="C180" s="33">
        <v>267.60998535156301</v>
      </c>
      <c r="D180" s="33">
        <v>424.82000732421898</v>
      </c>
      <c r="E180" s="33">
        <v>225.33999633789099</v>
      </c>
      <c r="F180" s="33">
        <v>311.63000488281301</v>
      </c>
      <c r="G180" s="33">
        <v>94.830001831054702</v>
      </c>
      <c r="H180" s="33">
        <v>86.279998779296903</v>
      </c>
      <c r="I180" s="33">
        <v>429.89001464843801</v>
      </c>
      <c r="J180" s="33">
        <v>94.779998779296903</v>
      </c>
      <c r="L180" s="34">
        <f t="shared" si="20"/>
        <v>-3.6171317458582619E-3</v>
      </c>
      <c r="N180" s="34">
        <f t="shared" si="21"/>
        <v>1.7228064887020444E-3</v>
      </c>
      <c r="O180" s="34">
        <f t="shared" si="22"/>
        <v>-1.2727854490167556E-2</v>
      </c>
      <c r="P180" s="34">
        <f t="shared" si="23"/>
        <v>4.710381266330721E-4</v>
      </c>
      <c r="Q180" s="34">
        <f t="shared" si="24"/>
        <v>-9.4945215916879544E-3</v>
      </c>
      <c r="R180" s="34">
        <f t="shared" si="25"/>
        <v>1.0866764359611869E-2</v>
      </c>
      <c r="S180" s="34">
        <f t="shared" si="26"/>
        <v>-4.7228899455021844E-3</v>
      </c>
      <c r="T180" s="34">
        <f t="shared" si="27"/>
        <v>-4.9590625039320768E-3</v>
      </c>
      <c r="U180" s="34">
        <f t="shared" si="28"/>
        <v>-7.7553037543265368E-3</v>
      </c>
      <c r="V180" s="34">
        <f t="shared" si="29"/>
        <v>-5.4564979623188403E-3</v>
      </c>
    </row>
    <row r="181" spans="1:22" ht="15" customHeight="1" x14ac:dyDescent="0.2">
      <c r="A181" s="32">
        <v>46140</v>
      </c>
      <c r="B181" s="33">
        <v>711.69000244140602</v>
      </c>
      <c r="C181" s="33">
        <v>270.70999145507801</v>
      </c>
      <c r="D181" s="33">
        <v>429.25</v>
      </c>
      <c r="E181" s="33">
        <v>227.78999328613301</v>
      </c>
      <c r="F181" s="33">
        <v>311.45001220703102</v>
      </c>
      <c r="G181" s="33">
        <v>96.510002136230497</v>
      </c>
      <c r="H181" s="33">
        <v>86.370002746582003</v>
      </c>
      <c r="I181" s="33">
        <v>421.91000366210898</v>
      </c>
      <c r="J181" s="33">
        <v>95.650001525878906</v>
      </c>
      <c r="L181" s="34">
        <f t="shared" si="20"/>
        <v>2.9899720187678311E-3</v>
      </c>
      <c r="N181" s="34">
        <f t="shared" si="21"/>
        <v>-4.8659487281461633E-3</v>
      </c>
      <c r="O181" s="34">
        <f t="shared" si="22"/>
        <v>1.1584044965446516E-2</v>
      </c>
      <c r="P181" s="34">
        <f t="shared" si="23"/>
        <v>1.0427928533036646E-2</v>
      </c>
      <c r="Q181" s="34">
        <f t="shared" si="24"/>
        <v>1.0872446028481919E-2</v>
      </c>
      <c r="R181" s="34">
        <f t="shared" si="25"/>
        <v>-5.7758454886158717E-4</v>
      </c>
      <c r="S181" s="34">
        <f t="shared" si="26"/>
        <v>1.7715915561921092E-2</v>
      </c>
      <c r="T181" s="34">
        <f t="shared" si="27"/>
        <v>1.0431614343822115E-3</v>
      </c>
      <c r="U181" s="34">
        <f t="shared" si="28"/>
        <v>-1.8562913104308909E-2</v>
      </c>
      <c r="V181" s="34">
        <f t="shared" si="29"/>
        <v>9.1791808164913835E-3</v>
      </c>
    </row>
    <row r="182" spans="1:22" ht="15" customHeight="1" x14ac:dyDescent="0.2">
      <c r="A182" s="32">
        <v>46141</v>
      </c>
      <c r="B182" s="33">
        <v>711.58001708984398</v>
      </c>
      <c r="C182" s="33">
        <v>270.17001342773398</v>
      </c>
      <c r="D182" s="33">
        <v>424.45999145507801</v>
      </c>
      <c r="E182" s="33">
        <v>227.35000610351599</v>
      </c>
      <c r="F182" s="33">
        <v>309.25</v>
      </c>
      <c r="G182" s="33">
        <v>94.169998168945298</v>
      </c>
      <c r="H182" s="33">
        <v>85.699996948242202</v>
      </c>
      <c r="I182" s="33">
        <v>417.41000366210898</v>
      </c>
      <c r="J182" s="33">
        <v>94.900001525878906</v>
      </c>
      <c r="L182" s="34">
        <f t="shared" si="20"/>
        <v>-6.0880630268916333E-3</v>
      </c>
      <c r="N182" s="34">
        <f t="shared" si="21"/>
        <v>-1.5454109399426486E-4</v>
      </c>
      <c r="O182" s="34">
        <f t="shared" si="22"/>
        <v>-1.9946734305653635E-3</v>
      </c>
      <c r="P182" s="34">
        <f t="shared" si="23"/>
        <v>-1.1159018159398904E-2</v>
      </c>
      <c r="Q182" s="34">
        <f t="shared" si="24"/>
        <v>-1.9315474585590575E-3</v>
      </c>
      <c r="R182" s="34">
        <f t="shared" si="25"/>
        <v>-7.0637730640659147E-3</v>
      </c>
      <c r="S182" s="34">
        <f t="shared" si="26"/>
        <v>-2.4246232675263268E-2</v>
      </c>
      <c r="T182" s="34">
        <f t="shared" si="27"/>
        <v>-7.7573900316486588E-3</v>
      </c>
      <c r="U182" s="34">
        <f t="shared" si="28"/>
        <v>-1.0665781709228828E-2</v>
      </c>
      <c r="V182" s="34">
        <f t="shared" si="29"/>
        <v>-7.8410871723517683E-3</v>
      </c>
    </row>
    <row r="183" spans="1:22" ht="15" customHeight="1" x14ac:dyDescent="0.2">
      <c r="A183" s="32">
        <v>46142</v>
      </c>
      <c r="B183" s="33">
        <v>718.65997314453102</v>
      </c>
      <c r="C183" s="33">
        <v>271.35000610351602</v>
      </c>
      <c r="D183" s="33">
        <v>407.77999877929699</v>
      </c>
      <c r="E183" s="33">
        <v>229.85000610351599</v>
      </c>
      <c r="F183" s="33">
        <v>313.23001098632801</v>
      </c>
      <c r="G183" s="33">
        <v>97.879997253417997</v>
      </c>
      <c r="H183" s="33">
        <v>85.620002746582003</v>
      </c>
      <c r="I183" s="33">
        <v>423.66000366210898</v>
      </c>
      <c r="J183" s="33">
        <v>96.330001831054702</v>
      </c>
      <c r="L183" s="34">
        <f t="shared" si="20"/>
        <v>4.2001612594011091E-3</v>
      </c>
      <c r="N183" s="34">
        <f t="shared" si="21"/>
        <v>9.9496274272035112E-3</v>
      </c>
      <c r="O183" s="34">
        <f t="shared" si="22"/>
        <v>4.3675930604254454E-3</v>
      </c>
      <c r="P183" s="34">
        <f t="shared" si="23"/>
        <v>-3.92969726512995E-2</v>
      </c>
      <c r="Q183" s="34">
        <f t="shared" si="24"/>
        <v>1.0996260975958405E-2</v>
      </c>
      <c r="R183" s="34">
        <f t="shared" si="25"/>
        <v>1.2869881928303961E-2</v>
      </c>
      <c r="S183" s="34">
        <f t="shared" si="26"/>
        <v>3.9396826554215281E-2</v>
      </c>
      <c r="T183" s="34">
        <f t="shared" si="27"/>
        <v>-9.3342128948392666E-4</v>
      </c>
      <c r="U183" s="34">
        <f t="shared" si="28"/>
        <v>1.4973287523456946E-2</v>
      </c>
      <c r="V183" s="34">
        <f t="shared" si="29"/>
        <v>1.5068496124163389E-2</v>
      </c>
    </row>
    <row r="184" spans="1:22" ht="15" customHeight="1" x14ac:dyDescent="0.2">
      <c r="A184" s="32">
        <v>46143</v>
      </c>
      <c r="B184" s="33">
        <v>720.65002441406295</v>
      </c>
      <c r="C184" s="33">
        <v>280.14001464843801</v>
      </c>
      <c r="D184" s="33">
        <v>414.44000244140602</v>
      </c>
      <c r="E184" s="33">
        <v>227.19000244140599</v>
      </c>
      <c r="F184" s="33">
        <v>312.47000122070301</v>
      </c>
      <c r="G184" s="33">
        <v>96.949996948242202</v>
      </c>
      <c r="H184" s="33">
        <v>85.610000610351605</v>
      </c>
      <c r="I184" s="33">
        <v>423.17999267578102</v>
      </c>
      <c r="J184" s="33">
        <v>96.059997558593807</v>
      </c>
      <c r="L184" s="34">
        <f t="shared" si="20"/>
        <v>5.7653404976453076E-3</v>
      </c>
      <c r="N184" s="34">
        <f t="shared" si="21"/>
        <v>2.7691138283718608E-3</v>
      </c>
      <c r="O184" s="34">
        <f t="shared" si="22"/>
        <v>3.2393618379240818E-2</v>
      </c>
      <c r="P184" s="34">
        <f t="shared" si="23"/>
        <v>1.6332345093055034E-2</v>
      </c>
      <c r="Q184" s="34">
        <f t="shared" si="24"/>
        <v>-1.157278047193977E-2</v>
      </c>
      <c r="R184" s="34">
        <f t="shared" si="25"/>
        <v>-2.4263631803089769E-3</v>
      </c>
      <c r="S184" s="34">
        <f t="shared" si="26"/>
        <v>-9.501433707317708E-3</v>
      </c>
      <c r="T184" s="34">
        <f t="shared" si="27"/>
        <v>-1.1682008770774743E-4</v>
      </c>
      <c r="U184" s="34">
        <f t="shared" si="28"/>
        <v>-1.1330099187526477E-3</v>
      </c>
      <c r="V184" s="34">
        <f t="shared" si="29"/>
        <v>-2.8029094501049734E-3</v>
      </c>
    </row>
    <row r="185" spans="1:22" ht="15" customHeight="1" x14ac:dyDescent="0.2">
      <c r="A185" s="32">
        <v>46146</v>
      </c>
      <c r="B185" s="33">
        <v>718.010009765625</v>
      </c>
      <c r="C185" s="33">
        <v>276.82998657226602</v>
      </c>
      <c r="D185" s="33">
        <v>413.61999511718801</v>
      </c>
      <c r="E185" s="33">
        <v>224.19999694824199</v>
      </c>
      <c r="F185" s="33">
        <v>307.64999389648398</v>
      </c>
      <c r="G185" s="33">
        <v>95.510002136230497</v>
      </c>
      <c r="H185" s="33">
        <v>84.959999084472699</v>
      </c>
      <c r="I185" s="33">
        <v>414.70999145507801</v>
      </c>
      <c r="J185" s="33">
        <v>95.459999084472699</v>
      </c>
      <c r="L185" s="34">
        <f t="shared" si="20"/>
        <v>-9.5842811024877822E-3</v>
      </c>
      <c r="N185" s="34">
        <f t="shared" si="21"/>
        <v>-3.6633796697425058E-3</v>
      </c>
      <c r="O185" s="34">
        <f t="shared" si="22"/>
        <v>-1.1815620415119632E-2</v>
      </c>
      <c r="P185" s="34">
        <f t="shared" si="23"/>
        <v>-1.9785911576765125E-3</v>
      </c>
      <c r="Q185" s="34">
        <f t="shared" si="24"/>
        <v>-1.3160814565047363E-2</v>
      </c>
      <c r="R185" s="34">
        <f t="shared" si="25"/>
        <v>-1.5425504225650699E-2</v>
      </c>
      <c r="S185" s="34">
        <f t="shared" si="26"/>
        <v>-1.4852963974619438E-2</v>
      </c>
      <c r="T185" s="34">
        <f t="shared" si="27"/>
        <v>-7.5925887308113671E-3</v>
      </c>
      <c r="U185" s="34">
        <f t="shared" si="28"/>
        <v>-2.0015126819079798E-2</v>
      </c>
      <c r="V185" s="34">
        <f t="shared" si="29"/>
        <v>-6.2460804639842271E-3</v>
      </c>
    </row>
    <row r="186" spans="1:22" ht="15" customHeight="1" x14ac:dyDescent="0.2">
      <c r="A186" s="32">
        <v>46147</v>
      </c>
      <c r="B186" s="33">
        <v>723.77001953125</v>
      </c>
      <c r="C186" s="33">
        <v>284.17999267578102</v>
      </c>
      <c r="D186" s="33">
        <v>411.38000488281301</v>
      </c>
      <c r="E186" s="33">
        <v>225.55000305175801</v>
      </c>
      <c r="F186" s="33">
        <v>309.39999389648398</v>
      </c>
      <c r="G186" s="33">
        <v>96.279998779296903</v>
      </c>
      <c r="H186" s="33">
        <v>85.430000305175795</v>
      </c>
      <c r="I186" s="33">
        <v>418.26998901367199</v>
      </c>
      <c r="J186" s="33">
        <v>95.760002136230497</v>
      </c>
      <c r="L186" s="34">
        <f t="shared" si="20"/>
        <v>8.4070685956892984E-3</v>
      </c>
      <c r="N186" s="34">
        <f t="shared" si="21"/>
        <v>8.0221858849922612E-3</v>
      </c>
      <c r="O186" s="34">
        <f t="shared" si="22"/>
        <v>2.6550613950907076E-2</v>
      </c>
      <c r="P186" s="34">
        <f t="shared" si="23"/>
        <v>-5.4155753126499118E-3</v>
      </c>
      <c r="Q186" s="34">
        <f t="shared" si="24"/>
        <v>6.0214367613380393E-3</v>
      </c>
      <c r="R186" s="34">
        <f t="shared" si="25"/>
        <v>5.6882822516448606E-3</v>
      </c>
      <c r="S186" s="34">
        <f t="shared" si="26"/>
        <v>8.0619477106504966E-3</v>
      </c>
      <c r="T186" s="34">
        <f t="shared" si="27"/>
        <v>5.5320294935006231E-3</v>
      </c>
      <c r="U186" s="34">
        <f t="shared" si="28"/>
        <v>8.5843062186736763E-3</v>
      </c>
      <c r="V186" s="34">
        <f t="shared" si="29"/>
        <v>3.1427095603921984E-3</v>
      </c>
    </row>
    <row r="187" spans="1:22" ht="15" customHeight="1" x14ac:dyDescent="0.2">
      <c r="A187" s="32">
        <v>46148</v>
      </c>
      <c r="B187" s="33">
        <v>733.83001708984398</v>
      </c>
      <c r="C187" s="33">
        <v>287.510009765625</v>
      </c>
      <c r="D187" s="33">
        <v>413.95999145507801</v>
      </c>
      <c r="E187" s="33">
        <v>224.61999511718801</v>
      </c>
      <c r="F187" s="33">
        <v>314.89999389648398</v>
      </c>
      <c r="G187" s="33">
        <v>95.389999389648395</v>
      </c>
      <c r="H187" s="33">
        <v>86.080001831054702</v>
      </c>
      <c r="I187" s="33">
        <v>430.95999145507801</v>
      </c>
      <c r="J187" s="33">
        <v>97.089996337890597</v>
      </c>
      <c r="L187" s="34">
        <f t="shared" si="20"/>
        <v>1.1094275090678502E-2</v>
      </c>
      <c r="N187" s="34">
        <f t="shared" si="21"/>
        <v>1.3899439445017814E-2</v>
      </c>
      <c r="O187" s="34">
        <f t="shared" si="22"/>
        <v>1.1717985698040279E-2</v>
      </c>
      <c r="P187" s="34">
        <f t="shared" si="23"/>
        <v>6.2715410123055371E-3</v>
      </c>
      <c r="Q187" s="34">
        <f t="shared" si="24"/>
        <v>-4.1232893903201395E-3</v>
      </c>
      <c r="R187" s="34">
        <f t="shared" si="25"/>
        <v>1.7776341656425831E-2</v>
      </c>
      <c r="S187" s="34">
        <f t="shared" si="26"/>
        <v>-9.2438658177453892E-3</v>
      </c>
      <c r="T187" s="34">
        <f t="shared" si="27"/>
        <v>7.608586252568772E-3</v>
      </c>
      <c r="U187" s="34">
        <f t="shared" si="28"/>
        <v>3.0339261182305899E-2</v>
      </c>
      <c r="V187" s="34">
        <f t="shared" si="29"/>
        <v>1.3888828028303601E-2</v>
      </c>
    </row>
    <row r="188" spans="1:22" ht="15" customHeight="1" x14ac:dyDescent="0.2">
      <c r="A188" s="32">
        <v>46149</v>
      </c>
      <c r="B188" s="33">
        <v>731.58001708984398</v>
      </c>
      <c r="C188" s="33">
        <v>287.44000244140602</v>
      </c>
      <c r="D188" s="33">
        <v>420.76998901367199</v>
      </c>
      <c r="E188" s="33">
        <v>222.50999450683599</v>
      </c>
      <c r="F188" s="33">
        <v>306.26998901367199</v>
      </c>
      <c r="G188" s="33">
        <v>93.319999694824205</v>
      </c>
      <c r="H188" s="33">
        <v>85.650001525878906</v>
      </c>
      <c r="I188" s="33">
        <v>431.67999267578102</v>
      </c>
      <c r="J188" s="33">
        <v>96.389999389648395</v>
      </c>
      <c r="L188" s="34">
        <f t="shared" si="20"/>
        <v>-3.8063351972033388E-3</v>
      </c>
      <c r="N188" s="34">
        <f t="shared" si="21"/>
        <v>-3.0661051573263043E-3</v>
      </c>
      <c r="O188" s="34">
        <f t="shared" si="22"/>
        <v>-2.4349525874267641E-4</v>
      </c>
      <c r="P188" s="34">
        <f t="shared" si="23"/>
        <v>1.6450859259748096E-2</v>
      </c>
      <c r="Q188" s="34">
        <f t="shared" si="24"/>
        <v>-9.3936455178498246E-3</v>
      </c>
      <c r="R188" s="34">
        <f t="shared" si="25"/>
        <v>-2.7405541600769023E-2</v>
      </c>
      <c r="S188" s="34">
        <f t="shared" si="26"/>
        <v>-2.1700384820935725E-2</v>
      </c>
      <c r="T188" s="34">
        <f t="shared" si="27"/>
        <v>-4.995356598850198E-3</v>
      </c>
      <c r="U188" s="34">
        <f t="shared" si="28"/>
        <v>1.6706915606528039E-3</v>
      </c>
      <c r="V188" s="34">
        <f t="shared" si="29"/>
        <v>-7.2097741749426181E-3</v>
      </c>
    </row>
    <row r="189" spans="1:22" ht="15" customHeight="1" x14ac:dyDescent="0.2">
      <c r="A189" s="32">
        <v>46150</v>
      </c>
      <c r="B189" s="33">
        <v>737.61999511718795</v>
      </c>
      <c r="C189" s="33">
        <v>293.32000732421898</v>
      </c>
      <c r="D189" s="33">
        <v>415.11999511718801</v>
      </c>
      <c r="E189" s="33">
        <v>221.32000732421901</v>
      </c>
      <c r="F189" s="33">
        <v>302.10000610351602</v>
      </c>
      <c r="G189" s="33">
        <v>93.099998474121094</v>
      </c>
      <c r="H189" s="33">
        <v>86.080001831054702</v>
      </c>
      <c r="I189" s="33">
        <v>433.76998901367199</v>
      </c>
      <c r="J189" s="33">
        <v>96.620002746582003</v>
      </c>
      <c r="L189" s="34">
        <f t="shared" si="20"/>
        <v>2.5802651077322966E-3</v>
      </c>
      <c r="N189" s="34">
        <f t="shared" si="21"/>
        <v>8.2560730012424255E-3</v>
      </c>
      <c r="O189" s="34">
        <f t="shared" si="22"/>
        <v>2.0456459897266965E-2</v>
      </c>
      <c r="P189" s="34">
        <f t="shared" si="23"/>
        <v>-1.3427749231184838E-2</v>
      </c>
      <c r="Q189" s="34">
        <f t="shared" si="24"/>
        <v>-5.3480167722552707E-3</v>
      </c>
      <c r="R189" s="34">
        <f t="shared" si="25"/>
        <v>-1.3615382047667102E-2</v>
      </c>
      <c r="S189" s="34">
        <f t="shared" si="26"/>
        <v>-2.3574927284886193E-3</v>
      </c>
      <c r="T189" s="34">
        <f t="shared" si="27"/>
        <v>5.0204354642757743E-3</v>
      </c>
      <c r="U189" s="34">
        <f t="shared" si="28"/>
        <v>4.841540894531704E-3</v>
      </c>
      <c r="V189" s="34">
        <f t="shared" si="29"/>
        <v>2.3861744827264886E-3</v>
      </c>
    </row>
    <row r="190" spans="1:22" ht="15" customHeight="1" x14ac:dyDescent="0.2">
      <c r="A190" s="32">
        <v>46153</v>
      </c>
      <c r="B190" s="33">
        <v>739.29998779296898</v>
      </c>
      <c r="C190" s="33">
        <v>292.67999267578102</v>
      </c>
      <c r="D190" s="33">
        <v>412.66000366210898</v>
      </c>
      <c r="E190" s="33">
        <v>221.42999267578099</v>
      </c>
      <c r="F190" s="33">
        <v>300</v>
      </c>
      <c r="G190" s="33">
        <v>94.839996337890597</v>
      </c>
      <c r="H190" s="33">
        <v>85.559997558593807</v>
      </c>
      <c r="I190" s="33">
        <v>434.64999389648398</v>
      </c>
      <c r="J190" s="33">
        <v>96.690002441406307</v>
      </c>
      <c r="L190" s="34">
        <f t="shared" si="20"/>
        <v>-8.1944629733377602E-4</v>
      </c>
      <c r="N190" s="34">
        <f t="shared" si="21"/>
        <v>2.2775855954313418E-3</v>
      </c>
      <c r="O190" s="34">
        <f t="shared" si="22"/>
        <v>-2.1819672455227757E-3</v>
      </c>
      <c r="P190" s="34">
        <f t="shared" si="23"/>
        <v>-5.9259767874697555E-3</v>
      </c>
      <c r="Q190" s="34">
        <f t="shared" si="24"/>
        <v>4.9695168950925073E-4</v>
      </c>
      <c r="R190" s="34">
        <f t="shared" si="25"/>
        <v>-6.9513606788754734E-3</v>
      </c>
      <c r="S190" s="34">
        <f t="shared" si="26"/>
        <v>1.8689558456364219E-2</v>
      </c>
      <c r="T190" s="34">
        <f t="shared" si="27"/>
        <v>-6.040941698415403E-3</v>
      </c>
      <c r="U190" s="34">
        <f t="shared" si="28"/>
        <v>2.0287362083599714E-3</v>
      </c>
      <c r="V190" s="34">
        <f t="shared" si="29"/>
        <v>7.2448450459994262E-4</v>
      </c>
    </row>
    <row r="191" spans="1:22" ht="15" customHeight="1" x14ac:dyDescent="0.2">
      <c r="A191" s="32">
        <v>46154</v>
      </c>
      <c r="B191" s="33">
        <v>738.17999267578102</v>
      </c>
      <c r="C191" s="33">
        <v>294.79998779296898</v>
      </c>
      <c r="D191" s="33">
        <v>407.76998901367199</v>
      </c>
      <c r="E191" s="33">
        <v>224.25999450683599</v>
      </c>
      <c r="F191" s="33">
        <v>304.88000488281301</v>
      </c>
      <c r="G191" s="33">
        <v>94.589996337890597</v>
      </c>
      <c r="H191" s="33">
        <v>84.989997863769503</v>
      </c>
      <c r="I191" s="33">
        <v>432.92999267578102</v>
      </c>
      <c r="J191" s="33">
        <v>96.690002441406307</v>
      </c>
      <c r="L191" s="34">
        <f t="shared" si="20"/>
        <v>1.0058085076388129E-3</v>
      </c>
      <c r="N191" s="34">
        <f t="shared" si="21"/>
        <v>-1.5149399914525796E-3</v>
      </c>
      <c r="O191" s="34">
        <f t="shared" si="22"/>
        <v>7.2433892655463517E-3</v>
      </c>
      <c r="P191" s="34">
        <f t="shared" si="23"/>
        <v>-1.1849984503080169E-2</v>
      </c>
      <c r="Q191" s="34">
        <f t="shared" si="24"/>
        <v>1.2780571398016027E-2</v>
      </c>
      <c r="R191" s="34">
        <f t="shared" si="25"/>
        <v>1.6266682942710053E-2</v>
      </c>
      <c r="S191" s="34">
        <f t="shared" si="26"/>
        <v>-2.6360186593566981E-3</v>
      </c>
      <c r="T191" s="34">
        <f t="shared" si="27"/>
        <v>-6.6619882081454529E-3</v>
      </c>
      <c r="U191" s="34">
        <f t="shared" si="28"/>
        <v>-3.9572098121611887E-3</v>
      </c>
      <c r="V191" s="34">
        <f t="shared" si="29"/>
        <v>0</v>
      </c>
    </row>
    <row r="192" spans="1:22" ht="15" customHeight="1" x14ac:dyDescent="0.2">
      <c r="A192" s="32">
        <v>46155</v>
      </c>
      <c r="B192" s="33">
        <v>742.30999755859398</v>
      </c>
      <c r="C192" s="33">
        <v>298.86999511718801</v>
      </c>
      <c r="D192" s="33">
        <v>405.20999145507801</v>
      </c>
      <c r="E192" s="33">
        <v>230.419998168945</v>
      </c>
      <c r="F192" s="33">
        <v>300.25</v>
      </c>
      <c r="G192" s="33">
        <v>94.849998474121094</v>
      </c>
      <c r="H192" s="33">
        <v>84.800003051757798</v>
      </c>
      <c r="I192" s="33">
        <v>430.5</v>
      </c>
      <c r="J192" s="33">
        <v>95.889999389648395</v>
      </c>
      <c r="L192" s="34">
        <f t="shared" si="20"/>
        <v>2.7785461446047178E-3</v>
      </c>
      <c r="N192" s="34">
        <f t="shared" si="21"/>
        <v>5.5948480367808973E-3</v>
      </c>
      <c r="O192" s="34">
        <f t="shared" si="22"/>
        <v>1.380599556563511E-2</v>
      </c>
      <c r="P192" s="34">
        <f t="shared" si="23"/>
        <v>-6.2780430820477129E-3</v>
      </c>
      <c r="Q192" s="34">
        <f t="shared" si="24"/>
        <v>2.7468134366342545E-2</v>
      </c>
      <c r="R192" s="34">
        <f t="shared" si="25"/>
        <v>-1.5186318579969327E-2</v>
      </c>
      <c r="S192" s="34">
        <f t="shared" si="26"/>
        <v>2.748727627620573E-3</v>
      </c>
      <c r="T192" s="34">
        <f t="shared" si="27"/>
        <v>-2.2354961382190508E-3</v>
      </c>
      <c r="U192" s="34">
        <f t="shared" si="28"/>
        <v>-5.6128998149611586E-3</v>
      </c>
      <c r="V192" s="34">
        <f t="shared" si="29"/>
        <v>-8.273896282531501E-3</v>
      </c>
    </row>
    <row r="193" spans="1:22" ht="15" customHeight="1" x14ac:dyDescent="0.2">
      <c r="A193" s="32">
        <v>46156</v>
      </c>
      <c r="B193" s="33">
        <v>748.16998291015602</v>
      </c>
      <c r="C193" s="33">
        <v>298.20999145507801</v>
      </c>
      <c r="D193" s="33">
        <v>409.42999267578102</v>
      </c>
      <c r="E193" s="33">
        <v>230.80000305175801</v>
      </c>
      <c r="F193" s="33">
        <v>299.91000366210898</v>
      </c>
      <c r="G193" s="33">
        <v>95.680000305175795</v>
      </c>
      <c r="H193" s="33">
        <v>84.919998168945298</v>
      </c>
      <c r="I193" s="33">
        <v>427.20999145507801</v>
      </c>
      <c r="J193" s="33">
        <v>95.319999694824205</v>
      </c>
      <c r="L193" s="34">
        <f t="shared" si="20"/>
        <v>1.850668111938179E-3</v>
      </c>
      <c r="N193" s="34">
        <f t="shared" si="21"/>
        <v>7.8942562687220885E-3</v>
      </c>
      <c r="O193" s="34">
        <f t="shared" si="22"/>
        <v>-2.2083302870574695E-3</v>
      </c>
      <c r="P193" s="34">
        <f t="shared" si="23"/>
        <v>1.0414356283637849E-2</v>
      </c>
      <c r="Q193" s="34">
        <f t="shared" si="24"/>
        <v>1.649183603128046E-3</v>
      </c>
      <c r="R193" s="34">
        <f t="shared" si="25"/>
        <v>-1.132377478404778E-3</v>
      </c>
      <c r="S193" s="34">
        <f t="shared" si="26"/>
        <v>8.7506783806765576E-3</v>
      </c>
      <c r="T193" s="34">
        <f t="shared" si="27"/>
        <v>1.4150367083625159E-3</v>
      </c>
      <c r="U193" s="34">
        <f t="shared" si="28"/>
        <v>-7.6422962715957388E-3</v>
      </c>
      <c r="V193" s="34">
        <f t="shared" si="29"/>
        <v>-5.9443080451799801E-3</v>
      </c>
    </row>
    <row r="194" spans="1:22" ht="15" customHeight="1" x14ac:dyDescent="0.2">
      <c r="A194" s="32">
        <v>46157</v>
      </c>
      <c r="B194" s="33">
        <v>739.16998291015602</v>
      </c>
      <c r="C194" s="33">
        <v>300.23001098632801</v>
      </c>
      <c r="D194" s="33">
        <v>421.92001342773398</v>
      </c>
      <c r="E194" s="33">
        <v>226.71000671386699</v>
      </c>
      <c r="F194" s="33">
        <v>297.80999755859398</v>
      </c>
      <c r="G194" s="33">
        <v>93.360000610351605</v>
      </c>
      <c r="H194" s="33">
        <v>83.660003662109403</v>
      </c>
      <c r="I194" s="33">
        <v>417.29000854492199</v>
      </c>
      <c r="J194" s="33">
        <v>93.910003662109403</v>
      </c>
      <c r="L194" s="34">
        <f t="shared" si="20"/>
        <v>-5.869884162706963E-3</v>
      </c>
      <c r="N194" s="34">
        <f t="shared" si="21"/>
        <v>-1.2029351892724582E-2</v>
      </c>
      <c r="O194" s="34">
        <f t="shared" si="22"/>
        <v>6.7738157309671365E-3</v>
      </c>
      <c r="P194" s="34">
        <f t="shared" si="23"/>
        <v>3.0505876402278087E-2</v>
      </c>
      <c r="Q194" s="34">
        <f t="shared" si="24"/>
        <v>-1.7720954435922698E-2</v>
      </c>
      <c r="R194" s="34">
        <f t="shared" si="25"/>
        <v>-7.0021208958436221E-3</v>
      </c>
      <c r="S194" s="34">
        <f t="shared" si="26"/>
        <v>-2.4247488371911041E-2</v>
      </c>
      <c r="T194" s="34">
        <f t="shared" si="27"/>
        <v>-1.4837429745690578E-2</v>
      </c>
      <c r="U194" s="34">
        <f t="shared" si="28"/>
        <v>-2.3220390694441706E-2</v>
      </c>
      <c r="V194" s="34">
        <f t="shared" si="29"/>
        <v>-1.4792237067027258E-2</v>
      </c>
    </row>
    <row r="195" spans="1:22" ht="15" customHeight="1" x14ac:dyDescent="0.2">
      <c r="A195" s="32">
        <v>46160</v>
      </c>
      <c r="B195" s="33">
        <v>738.65002441406295</v>
      </c>
      <c r="C195" s="33">
        <v>297.83999633789102</v>
      </c>
      <c r="D195" s="33">
        <v>423.54000854492199</v>
      </c>
      <c r="E195" s="33">
        <v>228.919998168945</v>
      </c>
      <c r="F195" s="33">
        <v>300.73001098632801</v>
      </c>
      <c r="G195" s="33">
        <v>89.040000915527301</v>
      </c>
      <c r="H195" s="33">
        <v>83.559997558593807</v>
      </c>
      <c r="I195" s="33">
        <v>418.42999267578102</v>
      </c>
      <c r="J195" s="33">
        <v>95.010002136230497</v>
      </c>
      <c r="L195" s="34">
        <f t="shared" si="20"/>
        <v>-4.5257661756691481E-7</v>
      </c>
      <c r="N195" s="34">
        <f t="shared" si="21"/>
        <v>-7.0343562118957426E-4</v>
      </c>
      <c r="O195" s="34">
        <f t="shared" si="22"/>
        <v>-7.9606120673453296E-3</v>
      </c>
      <c r="P195" s="34">
        <f t="shared" si="23"/>
        <v>3.8395787486518174E-3</v>
      </c>
      <c r="Q195" s="34">
        <f t="shared" si="24"/>
        <v>9.7480984060278608E-3</v>
      </c>
      <c r="R195" s="34">
        <f t="shared" si="25"/>
        <v>9.8049543389138183E-3</v>
      </c>
      <c r="S195" s="34">
        <f t="shared" si="26"/>
        <v>-4.6272490001947442E-2</v>
      </c>
      <c r="T195" s="34">
        <f t="shared" si="27"/>
        <v>-1.1953872715509961E-3</v>
      </c>
      <c r="U195" s="34">
        <f t="shared" si="28"/>
        <v>2.7318749730771419E-3</v>
      </c>
      <c r="V195" s="34">
        <f t="shared" si="29"/>
        <v>1.1713325856943957E-2</v>
      </c>
    </row>
    <row r="196" spans="1:22" ht="15" customHeight="1" x14ac:dyDescent="0.2">
      <c r="A196" s="32">
        <v>46161</v>
      </c>
      <c r="B196" s="33">
        <v>733.72998046875</v>
      </c>
      <c r="C196" s="33">
        <v>298.97000122070301</v>
      </c>
      <c r="D196" s="33">
        <v>417.42001342773398</v>
      </c>
      <c r="E196" s="33">
        <v>230</v>
      </c>
      <c r="F196" s="33">
        <v>295.70001220703102</v>
      </c>
      <c r="G196" s="33">
        <v>90.059997558593807</v>
      </c>
      <c r="H196" s="33">
        <v>83.019996643066406</v>
      </c>
      <c r="I196" s="33">
        <v>411.5</v>
      </c>
      <c r="J196" s="33">
        <v>95.279998779296903</v>
      </c>
      <c r="L196" s="34">
        <f t="shared" si="20"/>
        <v>-5.1731764599620032E-3</v>
      </c>
      <c r="N196" s="34">
        <f t="shared" si="21"/>
        <v>-6.6608593822437001E-3</v>
      </c>
      <c r="O196" s="34">
        <f t="shared" si="22"/>
        <v>3.7939997874900655E-3</v>
      </c>
      <c r="P196" s="34">
        <f t="shared" si="23"/>
        <v>-1.4449626938936255E-2</v>
      </c>
      <c r="Q196" s="34">
        <f t="shared" si="24"/>
        <v>4.7178133832499469E-3</v>
      </c>
      <c r="R196" s="34">
        <f t="shared" si="25"/>
        <v>-1.6725962143916751E-2</v>
      </c>
      <c r="S196" s="34">
        <f t="shared" si="26"/>
        <v>1.1455487787271901E-2</v>
      </c>
      <c r="T196" s="34">
        <f t="shared" si="27"/>
        <v>-6.4624333569270886E-3</v>
      </c>
      <c r="U196" s="34">
        <f t="shared" si="28"/>
        <v>-1.6561892782744891E-2</v>
      </c>
      <c r="V196" s="34">
        <f t="shared" si="29"/>
        <v>2.8417707293519889E-3</v>
      </c>
    </row>
    <row r="197" spans="1:22" ht="15" customHeight="1" x14ac:dyDescent="0.2">
      <c r="A197" s="32">
        <v>46162</v>
      </c>
      <c r="B197" s="33">
        <v>741.25</v>
      </c>
      <c r="C197" s="33">
        <v>302.25</v>
      </c>
      <c r="D197" s="33">
        <v>421.05999755859398</v>
      </c>
      <c r="E197" s="33">
        <v>229.32000732421901</v>
      </c>
      <c r="F197" s="33">
        <v>301.98001098632801</v>
      </c>
      <c r="G197" s="33">
        <v>88.269996643066406</v>
      </c>
      <c r="H197" s="33">
        <v>83.910003662109403</v>
      </c>
      <c r="I197" s="33">
        <v>417.39999389648398</v>
      </c>
      <c r="J197" s="33">
        <v>96.489997863769503</v>
      </c>
      <c r="L197" s="34">
        <f t="shared" si="20"/>
        <v>9.162129329362903E-3</v>
      </c>
      <c r="N197" s="34">
        <f t="shared" si="21"/>
        <v>1.0249028568310337E-2</v>
      </c>
      <c r="O197" s="34">
        <f t="shared" si="22"/>
        <v>1.0970996307002823E-2</v>
      </c>
      <c r="P197" s="34">
        <f t="shared" si="23"/>
        <v>8.7201955195428393E-3</v>
      </c>
      <c r="Q197" s="34">
        <f t="shared" si="24"/>
        <v>-2.9564898946999874E-3</v>
      </c>
      <c r="R197" s="34">
        <f t="shared" si="25"/>
        <v>2.1237735948756553E-2</v>
      </c>
      <c r="S197" s="34">
        <f t="shared" si="26"/>
        <v>-1.9875649167798493E-2</v>
      </c>
      <c r="T197" s="34">
        <f t="shared" si="27"/>
        <v>1.0720393339323619E-2</v>
      </c>
      <c r="U197" s="34">
        <f t="shared" si="28"/>
        <v>1.4337773746012195E-2</v>
      </c>
      <c r="V197" s="34">
        <f t="shared" si="29"/>
        <v>1.2699402812497818E-2</v>
      </c>
    </row>
    <row r="198" spans="1:22" ht="15" customHeight="1" x14ac:dyDescent="0.2">
      <c r="A198" s="32">
        <v>46163</v>
      </c>
      <c r="B198" s="33">
        <v>742.719970703125</v>
      </c>
      <c r="C198" s="33">
        <v>304.989990234375</v>
      </c>
      <c r="D198" s="33">
        <v>419.08999633789102</v>
      </c>
      <c r="E198" s="33">
        <v>231.72999572753901</v>
      </c>
      <c r="F198" s="33">
        <v>303</v>
      </c>
      <c r="G198" s="33">
        <v>89.690002441406307</v>
      </c>
      <c r="H198" s="33">
        <v>84.220001220703097</v>
      </c>
      <c r="I198" s="33">
        <v>416.989990234375</v>
      </c>
      <c r="J198" s="33">
        <v>96.669998168945298</v>
      </c>
      <c r="L198" s="34">
        <f t="shared" si="20"/>
        <v>3.7887150957825418E-3</v>
      </c>
      <c r="N198" s="34">
        <f t="shared" si="21"/>
        <v>1.9830970699832307E-3</v>
      </c>
      <c r="O198" s="34">
        <f t="shared" si="22"/>
        <v>9.0653109491314332E-3</v>
      </c>
      <c r="P198" s="34">
        <f t="shared" si="23"/>
        <v>-4.6786710495546613E-3</v>
      </c>
      <c r="Q198" s="34">
        <f t="shared" si="24"/>
        <v>1.0509281032390128E-2</v>
      </c>
      <c r="R198" s="34">
        <f t="shared" si="25"/>
        <v>3.3776706290609138E-3</v>
      </c>
      <c r="S198" s="34">
        <f t="shared" si="26"/>
        <v>1.6087072078204701E-2</v>
      </c>
      <c r="T198" s="34">
        <f t="shared" si="27"/>
        <v>3.6944052563983032E-3</v>
      </c>
      <c r="U198" s="34">
        <f t="shared" si="28"/>
        <v>-9.8227999066680116E-4</v>
      </c>
      <c r="V198" s="34">
        <f t="shared" si="29"/>
        <v>1.8654814919774054E-3</v>
      </c>
    </row>
    <row r="199" spans="1:22" ht="15" customHeight="1" x14ac:dyDescent="0.2">
      <c r="A199" s="32">
        <v>46164</v>
      </c>
      <c r="B199" s="33">
        <v>745.64001464843795</v>
      </c>
      <c r="C199" s="33">
        <v>308.82000732421898</v>
      </c>
      <c r="D199" s="33">
        <v>418.57000732421898</v>
      </c>
      <c r="E199" s="33">
        <v>234.33999633789099</v>
      </c>
      <c r="F199" s="33">
        <v>306.38000488281301</v>
      </c>
      <c r="G199" s="33">
        <v>88.550003051757798</v>
      </c>
      <c r="H199" s="33">
        <v>84.680000305175795</v>
      </c>
      <c r="I199" s="33">
        <v>413.82000732421898</v>
      </c>
      <c r="J199" s="33">
        <v>96.769996643066406</v>
      </c>
      <c r="L199" s="34">
        <f t="shared" si="20"/>
        <v>4.1898846468194327E-3</v>
      </c>
      <c r="N199" s="34">
        <f t="shared" si="21"/>
        <v>3.9315543683962062E-3</v>
      </c>
      <c r="O199" s="34">
        <f t="shared" si="22"/>
        <v>1.2557845216168317E-2</v>
      </c>
      <c r="P199" s="34">
        <f t="shared" si="23"/>
        <v>-1.2407573986872311E-3</v>
      </c>
      <c r="Q199" s="34">
        <f t="shared" si="24"/>
        <v>1.1263110768882756E-2</v>
      </c>
      <c r="R199" s="34">
        <f t="shared" si="25"/>
        <v>1.1155131626445547E-2</v>
      </c>
      <c r="S199" s="34">
        <f t="shared" si="26"/>
        <v>-1.2710439944443763E-2</v>
      </c>
      <c r="T199" s="34">
        <f t="shared" si="27"/>
        <v>5.4618745880476993E-3</v>
      </c>
      <c r="U199" s="34">
        <f t="shared" si="28"/>
        <v>-7.6020599640156394E-3</v>
      </c>
      <c r="V199" s="34">
        <f t="shared" si="29"/>
        <v>1.0344313232151237E-3</v>
      </c>
    </row>
    <row r="200" spans="1:22" ht="15" customHeight="1" x14ac:dyDescent="0.2">
      <c r="A200" s="32">
        <v>46168</v>
      </c>
      <c r="B200" s="33">
        <v>750.59002685546898</v>
      </c>
      <c r="C200" s="33">
        <v>308.32998657226602</v>
      </c>
      <c r="D200" s="33">
        <v>416.02999877929699</v>
      </c>
      <c r="E200" s="33">
        <v>230.17999267578099</v>
      </c>
      <c r="F200" s="33">
        <v>306.739990234375</v>
      </c>
      <c r="G200" s="33">
        <v>87.650001525878906</v>
      </c>
      <c r="H200" s="33">
        <v>85.099998474121094</v>
      </c>
      <c r="I200" s="33">
        <v>414</v>
      </c>
      <c r="J200" s="33">
        <v>97.220001220703097</v>
      </c>
      <c r="L200" s="34">
        <f t="shared" si="20"/>
        <v>-1.0189495441066377E-3</v>
      </c>
      <c r="N200" s="34">
        <f t="shared" si="21"/>
        <v>6.6386085909899695E-3</v>
      </c>
      <c r="O200" s="34">
        <f t="shared" si="22"/>
        <v>-1.5867519601425739E-3</v>
      </c>
      <c r="P200" s="34">
        <f t="shared" si="23"/>
        <v>-6.0683004048939226E-3</v>
      </c>
      <c r="Q200" s="34">
        <f t="shared" si="24"/>
        <v>-1.7752000201074369E-2</v>
      </c>
      <c r="R200" s="34">
        <f t="shared" si="25"/>
        <v>1.1749635936577629E-3</v>
      </c>
      <c r="S200" s="34">
        <f t="shared" si="26"/>
        <v>-1.0163766175737332E-2</v>
      </c>
      <c r="T200" s="34">
        <f t="shared" si="27"/>
        <v>4.9598272016022626E-3</v>
      </c>
      <c r="U200" s="34">
        <f t="shared" si="28"/>
        <v>4.3495402009408046E-4</v>
      </c>
      <c r="V200" s="34">
        <f t="shared" si="29"/>
        <v>4.6502489743440734E-3</v>
      </c>
    </row>
    <row r="201" spans="1:22" ht="15" customHeight="1" x14ac:dyDescent="0.2">
      <c r="A201" s="32">
        <v>46169</v>
      </c>
      <c r="B201" s="33">
        <v>750.46002197265602</v>
      </c>
      <c r="C201" s="33">
        <v>310.85000610351602</v>
      </c>
      <c r="D201" s="33">
        <v>412.67001342773398</v>
      </c>
      <c r="E201" s="33">
        <v>231.28999328613301</v>
      </c>
      <c r="F201" s="33">
        <v>299.27999877929699</v>
      </c>
      <c r="G201" s="33">
        <v>87.650001525878906</v>
      </c>
      <c r="H201" s="33">
        <v>85.300003051757798</v>
      </c>
      <c r="I201" s="33">
        <v>408.489990234375</v>
      </c>
      <c r="J201" s="33">
        <v>96.919998168945298</v>
      </c>
      <c r="L201" s="34">
        <f t="shared" si="20"/>
        <v>-2.7337452956800283E-3</v>
      </c>
      <c r="N201" s="34">
        <f t="shared" si="21"/>
        <v>-1.7320358406247571E-4</v>
      </c>
      <c r="O201" s="34">
        <f t="shared" si="22"/>
        <v>8.1731250316108284E-3</v>
      </c>
      <c r="P201" s="34">
        <f t="shared" si="23"/>
        <v>-8.0763054621584285E-3</v>
      </c>
      <c r="Q201" s="34">
        <f t="shared" si="24"/>
        <v>4.8223157775293402E-3</v>
      </c>
      <c r="R201" s="34">
        <f t="shared" si="25"/>
        <v>-2.4320244156550763E-2</v>
      </c>
      <c r="S201" s="34">
        <f t="shared" si="26"/>
        <v>0</v>
      </c>
      <c r="T201" s="34">
        <f t="shared" si="27"/>
        <v>2.3502300966260492E-3</v>
      </c>
      <c r="U201" s="34">
        <f t="shared" si="28"/>
        <v>-1.3309202332427494E-2</v>
      </c>
      <c r="V201" s="34">
        <f t="shared" si="29"/>
        <v>-3.0858161694191644E-3</v>
      </c>
    </row>
    <row r="202" spans="1:22" ht="15" customHeight="1" x14ac:dyDescent="0.2">
      <c r="A202" s="32">
        <v>46170</v>
      </c>
      <c r="B202" s="33">
        <v>754.59997558593795</v>
      </c>
      <c r="C202" s="33">
        <v>312.510009765625</v>
      </c>
      <c r="D202" s="33">
        <v>426.989990234375</v>
      </c>
      <c r="E202" s="33">
        <v>230.80000305175801</v>
      </c>
      <c r="F202" s="33">
        <v>296.73001098632801</v>
      </c>
      <c r="G202" s="33">
        <v>87.25</v>
      </c>
      <c r="H202" s="33">
        <v>85.739997863769503</v>
      </c>
      <c r="I202" s="33">
        <v>412.76998901367199</v>
      </c>
      <c r="J202" s="33">
        <v>96.550003051757798</v>
      </c>
      <c r="L202" s="34">
        <f t="shared" si="20"/>
        <v>6.4607094445200191E-3</v>
      </c>
      <c r="N202" s="34">
        <f t="shared" si="21"/>
        <v>5.5165545026631957E-3</v>
      </c>
      <c r="O202" s="34">
        <f t="shared" si="22"/>
        <v>5.3402079122242263E-3</v>
      </c>
      <c r="P202" s="34">
        <f t="shared" si="23"/>
        <v>3.4700793226277726E-2</v>
      </c>
      <c r="Q202" s="34">
        <f t="shared" si="24"/>
        <v>-2.1185103056698962E-3</v>
      </c>
      <c r="R202" s="34">
        <f t="shared" si="25"/>
        <v>-8.5204083245451478E-3</v>
      </c>
      <c r="S202" s="34">
        <f t="shared" si="26"/>
        <v>-4.5636225774714489E-3</v>
      </c>
      <c r="T202" s="34">
        <f t="shared" si="27"/>
        <v>5.1582039422053416E-3</v>
      </c>
      <c r="U202" s="34">
        <f t="shared" si="28"/>
        <v>1.0477609933211118E-2</v>
      </c>
      <c r="V202" s="34">
        <f t="shared" si="29"/>
        <v>-3.8175312028230213E-3</v>
      </c>
    </row>
    <row r="203" spans="1:22" ht="15" customHeight="1" x14ac:dyDescent="0.2">
      <c r="A203" s="32">
        <v>46171</v>
      </c>
      <c r="B203" s="33">
        <v>756.47998046875</v>
      </c>
      <c r="C203" s="33">
        <v>312.05999755859398</v>
      </c>
      <c r="D203" s="33">
        <v>450.239990234375</v>
      </c>
      <c r="E203" s="33">
        <v>225.330001831055</v>
      </c>
      <c r="F203" s="33">
        <v>299.30999755859398</v>
      </c>
      <c r="G203" s="33">
        <v>87.010002136230497</v>
      </c>
      <c r="H203" s="33">
        <v>85.760002136230497</v>
      </c>
      <c r="I203" s="33">
        <v>417.11999511718801</v>
      </c>
      <c r="J203" s="33">
        <v>95.699996948242202</v>
      </c>
      <c r="L203" s="34">
        <f t="shared" si="20"/>
        <v>5.7485786568434016E-3</v>
      </c>
      <c r="N203" s="34">
        <f t="shared" si="21"/>
        <v>2.4913927161900329E-3</v>
      </c>
      <c r="O203" s="34">
        <f t="shared" si="22"/>
        <v>-1.4399929377254539E-3</v>
      </c>
      <c r="P203" s="34">
        <f t="shared" si="23"/>
        <v>5.4450925154564178E-2</v>
      </c>
      <c r="Q203" s="34">
        <f t="shared" si="24"/>
        <v>-2.3700178285857021E-2</v>
      </c>
      <c r="R203" s="34">
        <f t="shared" si="25"/>
        <v>8.6947274516997464E-3</v>
      </c>
      <c r="S203" s="34">
        <f t="shared" si="26"/>
        <v>-2.7506918483610754E-3</v>
      </c>
      <c r="T203" s="34">
        <f t="shared" si="27"/>
        <v>2.3331319056918431E-4</v>
      </c>
      <c r="U203" s="34">
        <f t="shared" si="28"/>
        <v>1.0538571648366579E-2</v>
      </c>
      <c r="V203" s="34">
        <f t="shared" si="29"/>
        <v>-8.8037915758524266E-3</v>
      </c>
    </row>
    <row r="204" spans="1:22" ht="15" customHeight="1" x14ac:dyDescent="0.2">
      <c r="A204" s="32">
        <v>46174</v>
      </c>
      <c r="B204" s="33">
        <v>758.53997802734398</v>
      </c>
      <c r="C204" s="33">
        <v>306.30999755859398</v>
      </c>
      <c r="D204" s="33">
        <v>460.51998901367199</v>
      </c>
      <c r="E204" s="33">
        <v>223.50999450683599</v>
      </c>
      <c r="F204" s="33">
        <v>296.57998657226602</v>
      </c>
      <c r="G204" s="33">
        <v>83.660003662109403</v>
      </c>
      <c r="H204" s="33">
        <v>85.470001220703097</v>
      </c>
      <c r="I204" s="33">
        <v>411.260009765625</v>
      </c>
      <c r="J204" s="33">
        <v>94.089996337890597</v>
      </c>
      <c r="L204" s="34">
        <f t="shared" si="20"/>
        <v>-5.9307562410481941E-3</v>
      </c>
      <c r="N204" s="34">
        <f t="shared" si="21"/>
        <v>2.7231355908685639E-3</v>
      </c>
      <c r="O204" s="34">
        <f t="shared" si="22"/>
        <v>-1.8425943872925732E-2</v>
      </c>
      <c r="P204" s="34">
        <f t="shared" si="23"/>
        <v>2.2832265019252729E-2</v>
      </c>
      <c r="Q204" s="34">
        <f t="shared" si="24"/>
        <v>-8.0770749985773493E-3</v>
      </c>
      <c r="R204" s="34">
        <f t="shared" si="25"/>
        <v>-9.1210150298889348E-3</v>
      </c>
      <c r="S204" s="34">
        <f t="shared" si="26"/>
        <v>-3.8501303205073389E-2</v>
      </c>
      <c r="T204" s="34">
        <f t="shared" si="27"/>
        <v>-3.3815404419735851E-3</v>
      </c>
      <c r="U204" s="34">
        <f t="shared" si="28"/>
        <v>-1.4048680044495776E-2</v>
      </c>
      <c r="V204" s="34">
        <f t="shared" si="29"/>
        <v>-1.682341339281701E-2</v>
      </c>
    </row>
    <row r="205" spans="1:22" ht="15" customHeight="1" x14ac:dyDescent="0.2">
      <c r="A205" s="32">
        <v>46175</v>
      </c>
      <c r="B205" s="33">
        <v>759.57000732421898</v>
      </c>
      <c r="C205" s="33">
        <v>315.20001220703102</v>
      </c>
      <c r="D205" s="33">
        <v>441.30999755859398</v>
      </c>
      <c r="E205" s="33">
        <v>222.88999938964801</v>
      </c>
      <c r="F205" s="33">
        <v>300.95999145507801</v>
      </c>
      <c r="G205" s="33">
        <v>85.680000305175795</v>
      </c>
      <c r="H205" s="33">
        <v>85.650001525878906</v>
      </c>
      <c r="I205" s="33">
        <v>411.95001220703102</v>
      </c>
      <c r="J205" s="33">
        <v>94.519996643066406</v>
      </c>
      <c r="L205" s="34">
        <f t="shared" si="20"/>
        <v>2.5735764145103771E-3</v>
      </c>
      <c r="N205" s="34">
        <f t="shared" si="21"/>
        <v>1.3579103629497435E-3</v>
      </c>
      <c r="O205" s="34">
        <f t="shared" si="22"/>
        <v>2.9022933365850934E-2</v>
      </c>
      <c r="P205" s="34">
        <f t="shared" si="23"/>
        <v>-4.1713697371142167E-2</v>
      </c>
      <c r="Q205" s="34">
        <f t="shared" si="24"/>
        <v>-2.7739033261396928E-3</v>
      </c>
      <c r="R205" s="34">
        <f t="shared" si="25"/>
        <v>1.4768376428342389E-2</v>
      </c>
      <c r="S205" s="34">
        <f t="shared" si="26"/>
        <v>2.4145309044270036E-2</v>
      </c>
      <c r="T205" s="34">
        <f t="shared" si="27"/>
        <v>2.1060056464841104E-3</v>
      </c>
      <c r="U205" s="34">
        <f t="shared" si="28"/>
        <v>1.6777766498601299E-3</v>
      </c>
      <c r="V205" s="34">
        <f t="shared" si="29"/>
        <v>4.5700958859815621E-3</v>
      </c>
    </row>
    <row r="206" spans="1:22" ht="15" customHeight="1" x14ac:dyDescent="0.2">
      <c r="A206" s="32">
        <v>46176</v>
      </c>
      <c r="B206" s="33">
        <v>754.239990234375</v>
      </c>
      <c r="C206" s="33">
        <v>310.260009765625</v>
      </c>
      <c r="D206" s="33">
        <v>427.33999633789102</v>
      </c>
      <c r="E206" s="33">
        <v>223.24000549316401</v>
      </c>
      <c r="F206" s="33">
        <v>300.85000610351602</v>
      </c>
      <c r="G206" s="33">
        <v>84.580001831054702</v>
      </c>
      <c r="H206" s="33">
        <v>85.309997558593807</v>
      </c>
      <c r="I206" s="33">
        <v>407.86999511718801</v>
      </c>
      <c r="J206" s="33">
        <v>94.410003662109403</v>
      </c>
      <c r="L206" s="34">
        <f t="shared" si="20"/>
        <v>-9.8424568694525268E-3</v>
      </c>
      <c r="N206" s="34">
        <f t="shared" si="21"/>
        <v>-7.0171505436613657E-3</v>
      </c>
      <c r="O206" s="34">
        <f t="shared" si="22"/>
        <v>-1.5672595971098269E-2</v>
      </c>
      <c r="P206" s="34">
        <f t="shared" si="23"/>
        <v>-3.1655755133551233E-2</v>
      </c>
      <c r="Q206" s="34">
        <f t="shared" si="24"/>
        <v>1.5703086925140664E-3</v>
      </c>
      <c r="R206" s="34">
        <f t="shared" si="25"/>
        <v>-3.6544841402419426E-4</v>
      </c>
      <c r="S206" s="34">
        <f t="shared" si="26"/>
        <v>-1.28384508660494E-2</v>
      </c>
      <c r="T206" s="34">
        <f t="shared" si="27"/>
        <v>-3.9696901486028224E-3</v>
      </c>
      <c r="U206" s="34">
        <f t="shared" si="28"/>
        <v>-9.9041557687647996E-3</v>
      </c>
      <c r="V206" s="34">
        <f t="shared" si="29"/>
        <v>-1.1637006439215725E-3</v>
      </c>
    </row>
    <row r="207" spans="1:22" ht="15" customHeight="1" x14ac:dyDescent="0.2">
      <c r="A207" s="32">
        <v>46177</v>
      </c>
      <c r="B207" s="33">
        <v>757.09002685546898</v>
      </c>
      <c r="C207" s="33">
        <v>311.23001098632801</v>
      </c>
      <c r="D207" s="33">
        <v>428.04998779296898</v>
      </c>
      <c r="E207" s="33">
        <v>228.169998168945</v>
      </c>
      <c r="F207" s="33">
        <v>310.89001464843801</v>
      </c>
      <c r="G207" s="33">
        <v>85.680000305175795</v>
      </c>
      <c r="H207" s="33">
        <v>85.5</v>
      </c>
      <c r="I207" s="33">
        <v>411.26998901367199</v>
      </c>
      <c r="J207" s="33">
        <v>96.099998474121094</v>
      </c>
      <c r="L207" s="34">
        <f t="shared" si="20"/>
        <v>9.7107093626652794E-3</v>
      </c>
      <c r="N207" s="34">
        <f t="shared" si="21"/>
        <v>3.7786867018392289E-3</v>
      </c>
      <c r="O207" s="34">
        <f t="shared" si="22"/>
        <v>3.1264139436977256E-3</v>
      </c>
      <c r="P207" s="34">
        <f t="shared" si="23"/>
        <v>1.6614205577814012E-3</v>
      </c>
      <c r="Q207" s="34">
        <f t="shared" si="24"/>
        <v>2.2083822587667612E-2</v>
      </c>
      <c r="R207" s="34">
        <f t="shared" si="25"/>
        <v>3.3372140073905987E-2</v>
      </c>
      <c r="S207" s="34">
        <f t="shared" si="26"/>
        <v>1.3005420315765681E-2</v>
      </c>
      <c r="T207" s="34">
        <f t="shared" si="27"/>
        <v>2.2272001739971348E-3</v>
      </c>
      <c r="U207" s="34">
        <f t="shared" si="28"/>
        <v>8.3359745438178479E-3</v>
      </c>
      <c r="V207" s="34">
        <f t="shared" si="29"/>
        <v>1.7900590471960243E-2</v>
      </c>
    </row>
    <row r="208" spans="1:22" ht="15" customHeight="1" x14ac:dyDescent="0.2">
      <c r="A208" s="32">
        <v>46178</v>
      </c>
      <c r="B208" s="33">
        <v>737.54998779296898</v>
      </c>
      <c r="C208" s="33">
        <v>307.33999633789102</v>
      </c>
      <c r="D208" s="33">
        <v>416.67001342773398</v>
      </c>
      <c r="E208" s="33">
        <v>232.77000427246099</v>
      </c>
      <c r="F208" s="33">
        <v>312.36999511718801</v>
      </c>
      <c r="G208" s="33">
        <v>85.839996337890597</v>
      </c>
      <c r="H208" s="33">
        <v>85.059997558593807</v>
      </c>
      <c r="I208" s="33">
        <v>396.239990234375</v>
      </c>
      <c r="J208" s="33">
        <v>96.790000915527301</v>
      </c>
      <c r="L208" s="34">
        <f t="shared" si="20"/>
        <v>-1.1531897890825836E-2</v>
      </c>
      <c r="N208" s="34">
        <f t="shared" si="21"/>
        <v>-2.5809399634622698E-2</v>
      </c>
      <c r="O208" s="34">
        <f t="shared" si="22"/>
        <v>-1.2498841728370014E-2</v>
      </c>
      <c r="P208" s="34">
        <f t="shared" si="23"/>
        <v>-2.6585620113927066E-2</v>
      </c>
      <c r="Q208" s="34">
        <f t="shared" si="24"/>
        <v>2.0160433625940666E-2</v>
      </c>
      <c r="R208" s="34">
        <f t="shared" si="25"/>
        <v>4.7604631831730249E-3</v>
      </c>
      <c r="S208" s="34">
        <f t="shared" si="26"/>
        <v>1.8673673219529174E-3</v>
      </c>
      <c r="T208" s="34">
        <f t="shared" si="27"/>
        <v>-5.1462273848678075E-3</v>
      </c>
      <c r="U208" s="34">
        <f t="shared" si="28"/>
        <v>-3.6545333189379248E-2</v>
      </c>
      <c r="V208" s="34">
        <f t="shared" si="29"/>
        <v>7.1800463305107254E-3</v>
      </c>
    </row>
    <row r="209" spans="1:22" ht="15" customHeight="1" x14ac:dyDescent="0.2">
      <c r="A209" s="32">
        <v>46181</v>
      </c>
      <c r="B209" s="33">
        <v>739.219970703125</v>
      </c>
      <c r="C209" s="33">
        <v>301.54000854492199</v>
      </c>
      <c r="D209" s="33">
        <v>411.739990234375</v>
      </c>
      <c r="E209" s="33">
        <v>232.16000366210901</v>
      </c>
      <c r="F209" s="33">
        <v>311.10998535156301</v>
      </c>
      <c r="G209" s="33">
        <v>84.010002136230497</v>
      </c>
      <c r="H209" s="33">
        <v>84.620002746582003</v>
      </c>
      <c r="I209" s="33">
        <v>397.26998901367199</v>
      </c>
      <c r="J209" s="33">
        <v>95.470001220703097</v>
      </c>
      <c r="L209" s="34">
        <f t="shared" si="20"/>
        <v>-6.9581773690568409E-3</v>
      </c>
      <c r="N209" s="34">
        <f t="shared" si="21"/>
        <v>2.2642301373405616E-3</v>
      </c>
      <c r="O209" s="34">
        <f t="shared" si="22"/>
        <v>-1.8871568497685898E-2</v>
      </c>
      <c r="P209" s="34">
        <f t="shared" si="23"/>
        <v>-1.1831960627073146E-2</v>
      </c>
      <c r="Q209" s="34">
        <f t="shared" si="24"/>
        <v>-2.6206151959252688E-3</v>
      </c>
      <c r="R209" s="34">
        <f t="shared" si="25"/>
        <v>-4.0337093361104692E-3</v>
      </c>
      <c r="S209" s="34">
        <f t="shared" si="26"/>
        <v>-2.131866588689868E-2</v>
      </c>
      <c r="T209" s="34">
        <f t="shared" si="27"/>
        <v>-5.1727583428239354E-3</v>
      </c>
      <c r="U209" s="34">
        <f t="shared" si="28"/>
        <v>2.5994316693975783E-3</v>
      </c>
      <c r="V209" s="34">
        <f t="shared" si="29"/>
        <v>-1.3637769215192219E-2</v>
      </c>
    </row>
    <row r="210" spans="1:22" ht="15" customHeight="1" x14ac:dyDescent="0.2">
      <c r="A210" s="32">
        <v>46182</v>
      </c>
      <c r="B210" s="33">
        <v>737.04998779296898</v>
      </c>
      <c r="C210" s="33">
        <v>290.54998779296898</v>
      </c>
      <c r="D210" s="33">
        <v>403.41000366210898</v>
      </c>
      <c r="E210" s="33">
        <v>237</v>
      </c>
      <c r="F210" s="33">
        <v>312.70001220703102</v>
      </c>
      <c r="G210" s="33">
        <v>84.830001831054702</v>
      </c>
      <c r="H210" s="33">
        <v>85.120002746582003</v>
      </c>
      <c r="I210" s="33">
        <v>390.77999877929699</v>
      </c>
      <c r="J210" s="33">
        <v>97.669998168945298</v>
      </c>
      <c r="L210" s="34">
        <f t="shared" si="20"/>
        <v>-5.4403257421199959E-3</v>
      </c>
      <c r="N210" s="34">
        <f t="shared" si="21"/>
        <v>-2.9355036337722629E-3</v>
      </c>
      <c r="O210" s="34">
        <f t="shared" si="22"/>
        <v>-3.6446310408311144E-2</v>
      </c>
      <c r="P210" s="34">
        <f t="shared" si="23"/>
        <v>-2.0231181740506532E-2</v>
      </c>
      <c r="Q210" s="34">
        <f t="shared" si="24"/>
        <v>2.084767514448882E-2</v>
      </c>
      <c r="R210" s="34">
        <f t="shared" si="25"/>
        <v>5.1108191004258785E-3</v>
      </c>
      <c r="S210" s="34">
        <f t="shared" si="26"/>
        <v>9.7607388879064061E-3</v>
      </c>
      <c r="T210" s="34">
        <f t="shared" si="27"/>
        <v>5.9087684208352087E-3</v>
      </c>
      <c r="U210" s="34">
        <f t="shared" si="28"/>
        <v>-1.6336472459165918E-2</v>
      </c>
      <c r="V210" s="34">
        <f t="shared" si="29"/>
        <v>2.3043855872132646E-2</v>
      </c>
    </row>
    <row r="211" spans="1:22" ht="15" customHeight="1" x14ac:dyDescent="0.2">
      <c r="A211" s="32">
        <v>46183</v>
      </c>
      <c r="B211" s="33">
        <v>725.42999267578102</v>
      </c>
      <c r="C211" s="33">
        <v>291.57998657226602</v>
      </c>
      <c r="D211" s="33">
        <v>397.35998535156301</v>
      </c>
      <c r="E211" s="33">
        <v>238.49000549316401</v>
      </c>
      <c r="F211" s="33">
        <v>309.14001464843801</v>
      </c>
      <c r="G211" s="33">
        <v>85.120002746582003</v>
      </c>
      <c r="H211" s="33">
        <v>84.879997253417997</v>
      </c>
      <c r="I211" s="33">
        <v>374.57998657226602</v>
      </c>
      <c r="J211" s="33">
        <v>97.680000305175795</v>
      </c>
      <c r="L211" s="34">
        <f t="shared" ref="L211:L274" si="30">IF(COUNT(N211:V211)&lt;9,"",SUMPRODUCT($B$12:$J$12,N211:V211))</f>
        <v>-9.1019491261696978E-3</v>
      </c>
      <c r="N211" s="34">
        <f t="shared" ref="N211:N274" si="31">IF(OR(B211="",B210="",B210=0),"",B211/B210-1)</f>
        <v>-1.5765545498457989E-2</v>
      </c>
      <c r="O211" s="34">
        <f t="shared" ref="O211:O274" si="32">IF(OR(C211="",C210="",C210=0),"",C211/C210-1)</f>
        <v>3.5449968080225602E-3</v>
      </c>
      <c r="P211" s="34">
        <f t="shared" ref="P211:P274" si="33">IF(OR(D211="",D210="",D210=0),"",D211/D210-1)</f>
        <v>-1.4997194555476101E-2</v>
      </c>
      <c r="Q211" s="34">
        <f t="shared" ref="Q211:Q274" si="34">IF(OR(E211="",E210="",E210=0),"",E211/E210-1)</f>
        <v>6.2869430091307965E-3</v>
      </c>
      <c r="R211" s="34">
        <f t="shared" ref="R211:R274" si="35">IF(OR(F211="",F210="",F210=0),"",F211/F210-1)</f>
        <v>-1.13847055312426E-2</v>
      </c>
      <c r="S211" s="34">
        <f t="shared" ref="S211:S274" si="36">IF(OR(G211="",G210="",G210=0),"",G211/G210-1)</f>
        <v>3.4186126284054819E-3</v>
      </c>
      <c r="T211" s="34">
        <f t="shared" ref="T211:T274" si="37">IF(OR(H211="",H210="",H210=0),"",H211/H210-1)</f>
        <v>-2.8196133155510283E-3</v>
      </c>
      <c r="U211" s="34">
        <f t="shared" ref="U211:U274" si="38">IF(OR(I211="",I210="",I210=0),"",I211/I210-1)</f>
        <v>-4.1455581804687891E-2</v>
      </c>
      <c r="V211" s="34">
        <f t="shared" ref="V211:V274" si="39">IF(OR(J211="",J210="",J210=0),"",J211/J210-1)</f>
        <v>1.0240745795031536E-4</v>
      </c>
    </row>
    <row r="212" spans="1:22" ht="15" customHeight="1" x14ac:dyDescent="0.2">
      <c r="A212" s="32">
        <v>46184</v>
      </c>
      <c r="B212" s="33">
        <v>737.760009765625</v>
      </c>
      <c r="C212" s="33">
        <v>295.63000488281301</v>
      </c>
      <c r="D212" s="33">
        <v>390.33999633789102</v>
      </c>
      <c r="E212" s="33">
        <v>238.330001831055</v>
      </c>
      <c r="F212" s="33">
        <v>313.489990234375</v>
      </c>
      <c r="G212" s="33">
        <v>84.839996337890597</v>
      </c>
      <c r="H212" s="33">
        <v>85.980003356933594</v>
      </c>
      <c r="I212" s="33">
        <v>386.32000732421898</v>
      </c>
      <c r="J212" s="33">
        <v>97.610000610351605</v>
      </c>
      <c r="L212" s="34">
        <f t="shared" si="30"/>
        <v>8.911163818022292E-3</v>
      </c>
      <c r="N212" s="34">
        <f t="shared" si="31"/>
        <v>1.6996839411566267E-2</v>
      </c>
      <c r="O212" s="34">
        <f t="shared" si="32"/>
        <v>1.3889904990249446E-2</v>
      </c>
      <c r="P212" s="34">
        <f t="shared" si="33"/>
        <v>-1.7666572560045446E-2</v>
      </c>
      <c r="Q212" s="34">
        <f t="shared" si="34"/>
        <v>-6.7090300819161452E-4</v>
      </c>
      <c r="R212" s="34">
        <f t="shared" si="35"/>
        <v>1.4071214918210728E-2</v>
      </c>
      <c r="S212" s="34">
        <f t="shared" si="36"/>
        <v>-3.2895488681436991E-3</v>
      </c>
      <c r="T212" s="34">
        <f t="shared" si="37"/>
        <v>1.2959544522974209E-2</v>
      </c>
      <c r="U212" s="34">
        <f t="shared" si="38"/>
        <v>3.1341825972563075E-2</v>
      </c>
      <c r="V212" s="34">
        <f t="shared" si="39"/>
        <v>-7.166225901463763E-4</v>
      </c>
    </row>
    <row r="213" spans="1:22" ht="15" customHeight="1" x14ac:dyDescent="0.2">
      <c r="A213" s="32">
        <v>46185</v>
      </c>
      <c r="B213" s="33">
        <v>741.75</v>
      </c>
      <c r="C213" s="33">
        <v>291.13000488281301</v>
      </c>
      <c r="D213" s="33">
        <v>390.739990234375</v>
      </c>
      <c r="E213" s="33">
        <v>240.86999511718801</v>
      </c>
      <c r="F213" s="33">
        <v>320.72000122070301</v>
      </c>
      <c r="G213" s="33">
        <v>85.989997863769503</v>
      </c>
      <c r="H213" s="33">
        <v>85.769996643066406</v>
      </c>
      <c r="I213" s="33">
        <v>386.54000854492199</v>
      </c>
      <c r="J213" s="33">
        <v>98.510002136230497</v>
      </c>
      <c r="L213" s="34">
        <f t="shared" si="30"/>
        <v>2.9136533394665343E-3</v>
      </c>
      <c r="N213" s="34">
        <f t="shared" si="31"/>
        <v>5.4082495412601794E-3</v>
      </c>
      <c r="O213" s="34">
        <f t="shared" si="32"/>
        <v>-1.5221729613622226E-2</v>
      </c>
      <c r="P213" s="34">
        <f t="shared" si="33"/>
        <v>1.0247320290943662E-3</v>
      </c>
      <c r="Q213" s="34">
        <f t="shared" si="34"/>
        <v>1.0657463460825856E-2</v>
      </c>
      <c r="R213" s="34">
        <f t="shared" si="35"/>
        <v>2.3062972380466285E-2</v>
      </c>
      <c r="S213" s="34">
        <f t="shared" si="36"/>
        <v>1.3554945491732751E-2</v>
      </c>
      <c r="T213" s="34">
        <f t="shared" si="37"/>
        <v>-2.4425064627571214E-3</v>
      </c>
      <c r="U213" s="34">
        <f t="shared" si="38"/>
        <v>5.6947923103134457E-4</v>
      </c>
      <c r="V213" s="34">
        <f t="shared" si="39"/>
        <v>9.2203823404488627E-3</v>
      </c>
    </row>
    <row r="214" spans="1:22" ht="15" customHeight="1" x14ac:dyDescent="0.2">
      <c r="A214" s="32">
        <v>46188</v>
      </c>
      <c r="B214" s="33">
        <v>754.83001708984398</v>
      </c>
      <c r="C214" s="33">
        <v>296.42001342773398</v>
      </c>
      <c r="D214" s="33">
        <v>399.760009765625</v>
      </c>
      <c r="E214" s="33">
        <v>235.66000366210901</v>
      </c>
      <c r="F214" s="33">
        <v>319.39999389648398</v>
      </c>
      <c r="G214" s="33">
        <v>86.120002746582003</v>
      </c>
      <c r="H214" s="33">
        <v>85.720001220703097</v>
      </c>
      <c r="I214" s="33">
        <v>396.54998779296898</v>
      </c>
      <c r="J214" s="33">
        <v>97.819999694824205</v>
      </c>
      <c r="L214" s="34">
        <f t="shared" si="30"/>
        <v>8.8183698746380022E-3</v>
      </c>
      <c r="N214" s="34">
        <f t="shared" si="31"/>
        <v>1.7633996750716419E-2</v>
      </c>
      <c r="O214" s="34">
        <f t="shared" si="32"/>
        <v>1.8170605764425751E-2</v>
      </c>
      <c r="P214" s="34">
        <f t="shared" si="33"/>
        <v>2.3084454513702557E-2</v>
      </c>
      <c r="Q214" s="34">
        <f t="shared" si="34"/>
        <v>-2.1629889818963299E-2</v>
      </c>
      <c r="R214" s="34">
        <f t="shared" si="35"/>
        <v>-4.1157624070682353E-3</v>
      </c>
      <c r="S214" s="34">
        <f t="shared" si="36"/>
        <v>1.5118605191555279E-3</v>
      </c>
      <c r="T214" s="34">
        <f t="shared" si="37"/>
        <v>-5.8290106470870739E-4</v>
      </c>
      <c r="U214" s="34">
        <f t="shared" si="38"/>
        <v>2.5896360083728975E-2</v>
      </c>
      <c r="V214" s="34">
        <f t="shared" si="39"/>
        <v>-7.0043896705238584E-3</v>
      </c>
    </row>
    <row r="215" spans="1:22" ht="15" customHeight="1" x14ac:dyDescent="0.2">
      <c r="A215" s="32">
        <v>46189</v>
      </c>
      <c r="B215" s="33">
        <v>750.33001708984398</v>
      </c>
      <c r="C215" s="33">
        <v>299.239990234375</v>
      </c>
      <c r="D215" s="33">
        <v>393.82998657226602</v>
      </c>
      <c r="E215" s="33">
        <v>235.17999267578099</v>
      </c>
      <c r="F215" s="33">
        <v>331.14001464843801</v>
      </c>
      <c r="G215" s="33">
        <v>86.230003356933594</v>
      </c>
      <c r="H215" s="33">
        <v>86.190002441406307</v>
      </c>
      <c r="I215" s="33">
        <v>397.63000488281301</v>
      </c>
      <c r="J215" s="33">
        <v>98.059997558593807</v>
      </c>
      <c r="L215" s="34">
        <f t="shared" si="30"/>
        <v>2.7273926597160322E-3</v>
      </c>
      <c r="N215" s="34">
        <f t="shared" si="31"/>
        <v>-5.9616071143396843E-3</v>
      </c>
      <c r="O215" s="34">
        <f t="shared" si="32"/>
        <v>9.5134494261417402E-3</v>
      </c>
      <c r="P215" s="34">
        <f t="shared" si="33"/>
        <v>-1.4833957996037928E-2</v>
      </c>
      <c r="Q215" s="34">
        <f t="shared" si="34"/>
        <v>-2.0368793128606733E-3</v>
      </c>
      <c r="R215" s="34">
        <f t="shared" si="35"/>
        <v>3.6756483958352515E-2</v>
      </c>
      <c r="S215" s="34">
        <f t="shared" si="36"/>
        <v>1.2772945522920853E-3</v>
      </c>
      <c r="T215" s="34">
        <f t="shared" si="37"/>
        <v>5.4829819646537992E-3</v>
      </c>
      <c r="U215" s="34">
        <f t="shared" si="38"/>
        <v>2.723533282285473E-3</v>
      </c>
      <c r="V215" s="34">
        <f t="shared" si="39"/>
        <v>2.4534641639577526E-3</v>
      </c>
    </row>
    <row r="216" spans="1:22" ht="15" customHeight="1" x14ac:dyDescent="0.2">
      <c r="A216" s="32">
        <v>46190</v>
      </c>
      <c r="B216" s="33">
        <v>740.96002197265602</v>
      </c>
      <c r="C216" s="33">
        <v>295.95001220703102</v>
      </c>
      <c r="D216" s="33">
        <v>378.91000366210898</v>
      </c>
      <c r="E216" s="33">
        <v>234.19999694824199</v>
      </c>
      <c r="F216" s="33">
        <v>333.45999145507801</v>
      </c>
      <c r="G216" s="33">
        <v>85.730003356933594</v>
      </c>
      <c r="H216" s="33">
        <v>86.330001831054702</v>
      </c>
      <c r="I216" s="33">
        <v>388.60000610351602</v>
      </c>
      <c r="J216" s="33">
        <v>95.610000610351605</v>
      </c>
      <c r="L216" s="34">
        <f t="shared" si="30"/>
        <v>-1.3015208315072101E-2</v>
      </c>
      <c r="N216" s="34">
        <f t="shared" si="31"/>
        <v>-1.2487831892331158E-2</v>
      </c>
      <c r="O216" s="34">
        <f t="shared" si="32"/>
        <v>-1.0994446379867684E-2</v>
      </c>
      <c r="P216" s="34">
        <f t="shared" si="33"/>
        <v>-3.7884324248680046E-2</v>
      </c>
      <c r="Q216" s="34">
        <f t="shared" si="34"/>
        <v>-4.167002968190503E-3</v>
      </c>
      <c r="R216" s="34">
        <f t="shared" si="35"/>
        <v>7.006029788043211E-3</v>
      </c>
      <c r="S216" s="34">
        <f t="shared" si="36"/>
        <v>-5.7984457907340747E-3</v>
      </c>
      <c r="T216" s="34">
        <f t="shared" si="37"/>
        <v>1.6243112389231484E-3</v>
      </c>
      <c r="U216" s="34">
        <f t="shared" si="38"/>
        <v>-2.2709550759274943E-2</v>
      </c>
      <c r="V216" s="34">
        <f t="shared" si="39"/>
        <v>-2.4984672743625702E-2</v>
      </c>
    </row>
    <row r="217" spans="1:22" ht="15" customHeight="1" x14ac:dyDescent="0.2">
      <c r="A217" s="32">
        <v>46191</v>
      </c>
      <c r="B217" s="33">
        <v>746.739990234375</v>
      </c>
      <c r="C217" s="33">
        <v>298.010009765625</v>
      </c>
      <c r="D217" s="33">
        <v>379.39999389648398</v>
      </c>
      <c r="E217" s="33">
        <v>228.38999938964801</v>
      </c>
      <c r="F217" s="33">
        <v>325.22000122070301</v>
      </c>
      <c r="G217" s="33">
        <v>86.75</v>
      </c>
      <c r="H217" s="33">
        <v>86.75</v>
      </c>
      <c r="I217" s="33">
        <v>387.11999511718801</v>
      </c>
      <c r="J217" s="33">
        <v>95.559997558593807</v>
      </c>
      <c r="L217" s="34">
        <f t="shared" si="30"/>
        <v>-1.4243277128076269E-3</v>
      </c>
      <c r="N217" s="34">
        <f t="shared" si="31"/>
        <v>7.8006479301420129E-3</v>
      </c>
      <c r="O217" s="34">
        <f t="shared" si="32"/>
        <v>6.9606267059483251E-3</v>
      </c>
      <c r="P217" s="34">
        <f t="shared" si="33"/>
        <v>1.2931572923366996E-3</v>
      </c>
      <c r="Q217" s="34">
        <f t="shared" si="34"/>
        <v>-2.4807846431688874E-2</v>
      </c>
      <c r="R217" s="34">
        <f t="shared" si="35"/>
        <v>-2.4710581315675051E-2</v>
      </c>
      <c r="S217" s="34">
        <f t="shared" si="36"/>
        <v>1.1897779110303874E-2</v>
      </c>
      <c r="T217" s="34">
        <f t="shared" si="37"/>
        <v>4.8650313916038801E-3</v>
      </c>
      <c r="U217" s="34">
        <f t="shared" si="38"/>
        <v>-3.8085717011897557E-3</v>
      </c>
      <c r="V217" s="34">
        <f t="shared" si="39"/>
        <v>-5.229897650725901E-4</v>
      </c>
    </row>
    <row r="218" spans="1:22" ht="15" customHeight="1" x14ac:dyDescent="0.2">
      <c r="A218" s="32">
        <v>46195</v>
      </c>
      <c r="B218" s="33">
        <v>744.39001464843795</v>
      </c>
      <c r="C218" s="33">
        <v>297.010009765625</v>
      </c>
      <c r="D218" s="33">
        <v>367.33999633789102</v>
      </c>
      <c r="E218" s="33">
        <v>231.28999328613301</v>
      </c>
      <c r="F218" s="33">
        <v>331.48001098632801</v>
      </c>
      <c r="G218" s="33">
        <v>86.080001831054702</v>
      </c>
      <c r="H218" s="33">
        <v>86.089996337890597</v>
      </c>
      <c r="I218" s="33">
        <v>384.58999633789102</v>
      </c>
      <c r="J218" s="33">
        <v>96.589996337890597</v>
      </c>
      <c r="L218" s="34">
        <f t="shared" si="30"/>
        <v>-3.095779852768868E-3</v>
      </c>
      <c r="N218" s="34">
        <f t="shared" si="31"/>
        <v>-3.1469796939621597E-3</v>
      </c>
      <c r="O218" s="34">
        <f t="shared" si="32"/>
        <v>-3.3555919842641613E-3</v>
      </c>
      <c r="P218" s="34">
        <f t="shared" si="33"/>
        <v>-3.1787026232487081E-2</v>
      </c>
      <c r="Q218" s="34">
        <f t="shared" si="34"/>
        <v>1.2697552012938207E-2</v>
      </c>
      <c r="R218" s="34">
        <f t="shared" si="35"/>
        <v>1.9248538657303582E-2</v>
      </c>
      <c r="S218" s="34">
        <f t="shared" si="36"/>
        <v>-7.7233218322224628E-3</v>
      </c>
      <c r="T218" s="34">
        <f t="shared" si="37"/>
        <v>-7.6081113787827004E-3</v>
      </c>
      <c r="U218" s="34">
        <f t="shared" si="38"/>
        <v>-6.5354381359999936E-3</v>
      </c>
      <c r="V218" s="34">
        <f t="shared" si="39"/>
        <v>1.0778555939845447E-2</v>
      </c>
    </row>
    <row r="219" spans="1:22" ht="15" customHeight="1" x14ac:dyDescent="0.2">
      <c r="A219" s="32">
        <v>46196</v>
      </c>
      <c r="B219" s="33">
        <v>733.58001708984398</v>
      </c>
      <c r="C219" s="33">
        <v>294.29998779296898</v>
      </c>
      <c r="D219" s="33">
        <v>373.94000244140602</v>
      </c>
      <c r="E219" s="33">
        <v>239.080001831055</v>
      </c>
      <c r="F219" s="33">
        <v>334.14001464843801</v>
      </c>
      <c r="G219" s="33">
        <v>86.430000305175795</v>
      </c>
      <c r="H219" s="33">
        <v>86.199996948242202</v>
      </c>
      <c r="I219" s="33">
        <v>377.32000732421898</v>
      </c>
      <c r="J219" s="33">
        <v>97.860000610351605</v>
      </c>
      <c r="L219" s="34">
        <f t="shared" si="30"/>
        <v>1.5228344126019652E-3</v>
      </c>
      <c r="N219" s="34">
        <f t="shared" si="31"/>
        <v>-1.4521954010491833E-2</v>
      </c>
      <c r="O219" s="34">
        <f t="shared" si="32"/>
        <v>-9.1243455895461123E-3</v>
      </c>
      <c r="P219" s="34">
        <f t="shared" si="33"/>
        <v>1.7967022838003555E-2</v>
      </c>
      <c r="Q219" s="34">
        <f t="shared" si="34"/>
        <v>3.3680698564787503E-2</v>
      </c>
      <c r="R219" s="34">
        <f t="shared" si="35"/>
        <v>8.0246276515891779E-3</v>
      </c>
      <c r="S219" s="34">
        <f t="shared" si="36"/>
        <v>4.065967317333774E-3</v>
      </c>
      <c r="T219" s="34">
        <f t="shared" si="37"/>
        <v>1.2777397494578846E-3</v>
      </c>
      <c r="U219" s="34">
        <f t="shared" si="38"/>
        <v>-1.8903219228003088E-2</v>
      </c>
      <c r="V219" s="34">
        <f t="shared" si="39"/>
        <v>1.3148403774841055E-2</v>
      </c>
    </row>
    <row r="220" spans="1:22" ht="15" customHeight="1" x14ac:dyDescent="0.2">
      <c r="A220" s="32">
        <v>46197</v>
      </c>
      <c r="B220" s="33">
        <v>733.239990234375</v>
      </c>
      <c r="C220" s="33">
        <v>293.07998657226602</v>
      </c>
      <c r="D220" s="33">
        <v>365.45999145507801</v>
      </c>
      <c r="E220" s="33">
        <v>241</v>
      </c>
      <c r="F220" s="33">
        <v>333.45001220703102</v>
      </c>
      <c r="G220" s="33">
        <v>87.620002746582003</v>
      </c>
      <c r="H220" s="33">
        <v>87.379997253417997</v>
      </c>
      <c r="I220" s="33">
        <v>365.92001342773398</v>
      </c>
      <c r="J220" s="33">
        <v>97.010002136230497</v>
      </c>
      <c r="L220" s="34">
        <f t="shared" si="30"/>
        <v>-4.6879732463632655E-3</v>
      </c>
      <c r="N220" s="34">
        <f t="shared" si="31"/>
        <v>-4.6351706364344825E-4</v>
      </c>
      <c r="O220" s="34">
        <f t="shared" si="32"/>
        <v>-4.145434153266736E-3</v>
      </c>
      <c r="P220" s="34">
        <f t="shared" si="33"/>
        <v>-2.267746411446514E-2</v>
      </c>
      <c r="Q220" s="34">
        <f t="shared" si="34"/>
        <v>8.0307769543257468E-3</v>
      </c>
      <c r="R220" s="34">
        <f t="shared" si="35"/>
        <v>-2.0650099094924323E-3</v>
      </c>
      <c r="S220" s="34">
        <f t="shared" si="36"/>
        <v>1.3768395663593891E-2</v>
      </c>
      <c r="T220" s="34">
        <f t="shared" si="37"/>
        <v>1.3689099152570883E-2</v>
      </c>
      <c r="U220" s="34">
        <f t="shared" si="38"/>
        <v>-3.0213064971901571E-2</v>
      </c>
      <c r="V220" s="34">
        <f t="shared" si="39"/>
        <v>-8.6858621379488632E-3</v>
      </c>
    </row>
    <row r="221" spans="1:22" ht="15" customHeight="1" x14ac:dyDescent="0.2">
      <c r="A221" s="32">
        <v>46198</v>
      </c>
      <c r="B221" s="33">
        <v>734.29998779296898</v>
      </c>
      <c r="C221" s="33">
        <v>275.14999389648398</v>
      </c>
      <c r="D221" s="33">
        <v>352.82998657226602</v>
      </c>
      <c r="E221" s="33">
        <v>244.88000488281301</v>
      </c>
      <c r="F221" s="33">
        <v>335.11999511718801</v>
      </c>
      <c r="G221" s="33">
        <v>87.699996948242202</v>
      </c>
      <c r="H221" s="33">
        <v>87.349998474121094</v>
      </c>
      <c r="I221" s="33">
        <v>369.45999145507801</v>
      </c>
      <c r="J221" s="33">
        <v>97.190002441406307</v>
      </c>
      <c r="L221" s="34">
        <f t="shared" si="30"/>
        <v>-1.0882499758256555E-2</v>
      </c>
      <c r="N221" s="34">
        <f t="shared" si="31"/>
        <v>1.4456352254534899E-3</v>
      </c>
      <c r="O221" s="34">
        <f t="shared" si="32"/>
        <v>-6.1177813215713917E-2</v>
      </c>
      <c r="P221" s="34">
        <f t="shared" si="33"/>
        <v>-3.455919985256295E-2</v>
      </c>
      <c r="Q221" s="34">
        <f t="shared" si="34"/>
        <v>1.6099605322875465E-2</v>
      </c>
      <c r="R221" s="34">
        <f t="shared" si="35"/>
        <v>5.0081956785779091E-3</v>
      </c>
      <c r="S221" s="34">
        <f t="shared" si="36"/>
        <v>9.1296734937973412E-4</v>
      </c>
      <c r="T221" s="34">
        <f t="shared" si="37"/>
        <v>-3.4331403341547606E-4</v>
      </c>
      <c r="U221" s="34">
        <f t="shared" si="38"/>
        <v>9.6741853340664985E-3</v>
      </c>
      <c r="V221" s="34">
        <f t="shared" si="39"/>
        <v>1.8554819215759188E-3</v>
      </c>
    </row>
    <row r="222" spans="1:22" ht="15" customHeight="1" x14ac:dyDescent="0.2">
      <c r="A222" s="32">
        <v>46199</v>
      </c>
      <c r="B222" s="33">
        <v>728.989990234375</v>
      </c>
      <c r="C222" s="33">
        <v>283.77999877929699</v>
      </c>
      <c r="D222" s="33">
        <v>372.97000122070301</v>
      </c>
      <c r="E222" s="33">
        <v>254.66000366210901</v>
      </c>
      <c r="F222" s="33">
        <v>329.04998779296898</v>
      </c>
      <c r="G222" s="33">
        <v>88.559997558593807</v>
      </c>
      <c r="H222" s="33">
        <v>87.360000610351605</v>
      </c>
      <c r="I222" s="33">
        <v>373.63000488281301</v>
      </c>
      <c r="J222" s="33">
        <v>98.669998168945298</v>
      </c>
      <c r="L222" s="34">
        <f t="shared" si="30"/>
        <v>1.6175230533281085E-2</v>
      </c>
      <c r="N222" s="34">
        <f t="shared" si="31"/>
        <v>-7.2313736168698739E-3</v>
      </c>
      <c r="O222" s="34">
        <f t="shared" si="32"/>
        <v>3.1364728599847957E-2</v>
      </c>
      <c r="P222" s="34">
        <f t="shared" si="33"/>
        <v>5.7081357636567853E-2</v>
      </c>
      <c r="Q222" s="34">
        <f t="shared" si="34"/>
        <v>3.9937923000190167E-2</v>
      </c>
      <c r="R222" s="34">
        <f t="shared" si="35"/>
        <v>-1.8112936896219511E-2</v>
      </c>
      <c r="S222" s="34">
        <f t="shared" si="36"/>
        <v>9.8061646553893045E-3</v>
      </c>
      <c r="T222" s="34">
        <f t="shared" si="37"/>
        <v>1.1450642707777625E-4</v>
      </c>
      <c r="U222" s="34">
        <f t="shared" si="38"/>
        <v>1.128677941909717E-2</v>
      </c>
      <c r="V222" s="34">
        <f t="shared" si="39"/>
        <v>1.5227859762954932E-2</v>
      </c>
    </row>
    <row r="223" spans="1:22" ht="15" customHeight="1" x14ac:dyDescent="0.2">
      <c r="A223" s="32">
        <v>46202</v>
      </c>
      <c r="B223" s="33">
        <v>741</v>
      </c>
      <c r="C223" s="33">
        <v>281.739990234375</v>
      </c>
      <c r="D223" s="33">
        <v>368.57000732421898</v>
      </c>
      <c r="E223" s="33">
        <v>258.510009765625</v>
      </c>
      <c r="F223" s="33">
        <v>329.39001464843801</v>
      </c>
      <c r="G223" s="33">
        <v>88.660003662109403</v>
      </c>
      <c r="H223" s="33">
        <v>87.449996948242202</v>
      </c>
      <c r="I223" s="33">
        <v>368.57998657226602</v>
      </c>
      <c r="J223" s="33">
        <v>98.150001525878906</v>
      </c>
      <c r="L223" s="34">
        <f t="shared" si="30"/>
        <v>5.9117474948174129E-4</v>
      </c>
      <c r="N223" s="34">
        <f t="shared" si="31"/>
        <v>1.6474862380159383E-2</v>
      </c>
      <c r="O223" s="34">
        <f t="shared" si="32"/>
        <v>-7.188697419470147E-3</v>
      </c>
      <c r="P223" s="34">
        <f t="shared" si="33"/>
        <v>-1.1797179081650455E-2</v>
      </c>
      <c r="Q223" s="34">
        <f t="shared" si="34"/>
        <v>1.5118220561342266E-2</v>
      </c>
      <c r="R223" s="34">
        <f t="shared" si="35"/>
        <v>1.0333592708806627E-3</v>
      </c>
      <c r="S223" s="34">
        <f t="shared" si="36"/>
        <v>1.1292469091299662E-3</v>
      </c>
      <c r="T223" s="34">
        <f t="shared" si="37"/>
        <v>1.030177853271752E-3</v>
      </c>
      <c r="U223" s="34">
        <f t="shared" si="38"/>
        <v>-1.3516094115971544E-2</v>
      </c>
      <c r="V223" s="34">
        <f t="shared" si="39"/>
        <v>-5.2700583025859782E-3</v>
      </c>
    </row>
    <row r="224" spans="1:22" ht="15" customHeight="1" x14ac:dyDescent="0.2">
      <c r="A224" s="32">
        <v>46203</v>
      </c>
      <c r="B224" s="33">
        <v>746.77001953125</v>
      </c>
      <c r="C224" s="33">
        <v>289.35998535156301</v>
      </c>
      <c r="D224" s="33">
        <v>373.01998901367199</v>
      </c>
      <c r="E224" s="33">
        <v>253.97000122070301</v>
      </c>
      <c r="F224" s="33">
        <v>327.32998657226602</v>
      </c>
      <c r="G224" s="33">
        <v>87.769996643066406</v>
      </c>
      <c r="H224" s="33">
        <v>86.419998168945298</v>
      </c>
      <c r="I224" s="33">
        <v>368.38000488281301</v>
      </c>
      <c r="J224" s="33">
        <v>96.430000305175795</v>
      </c>
      <c r="L224" s="34">
        <f t="shared" si="30"/>
        <v>2.1049484288482813E-3</v>
      </c>
      <c r="N224" s="34">
        <f t="shared" si="31"/>
        <v>7.7868009868420351E-3</v>
      </c>
      <c r="O224" s="34">
        <f t="shared" si="32"/>
        <v>2.7046196426886659E-2</v>
      </c>
      <c r="P224" s="34">
        <f t="shared" si="33"/>
        <v>1.2073640288203125E-2</v>
      </c>
      <c r="Q224" s="34">
        <f t="shared" si="34"/>
        <v>-1.7562215672182857E-2</v>
      </c>
      <c r="R224" s="34">
        <f t="shared" si="35"/>
        <v>-6.2540695970115801E-3</v>
      </c>
      <c r="S224" s="34">
        <f t="shared" si="36"/>
        <v>-1.0038427501479541E-2</v>
      </c>
      <c r="T224" s="34">
        <f t="shared" si="37"/>
        <v>-1.1778145400125228E-2</v>
      </c>
      <c r="U224" s="34">
        <f t="shared" si="38"/>
        <v>-5.4257338091745488E-4</v>
      </c>
      <c r="V224" s="34">
        <f t="shared" si="39"/>
        <v>-1.7524209821327408E-2</v>
      </c>
    </row>
    <row r="225" spans="1:22" ht="15" customHeight="1" x14ac:dyDescent="0.2">
      <c r="A225" s="32">
        <v>46204</v>
      </c>
      <c r="B225" s="33">
        <v>745.760009765625</v>
      </c>
      <c r="C225" s="33">
        <v>294.38000488281301</v>
      </c>
      <c r="D225" s="33">
        <v>384.27999877929699</v>
      </c>
      <c r="E225" s="33">
        <v>253.97999572753901</v>
      </c>
      <c r="F225" s="33">
        <v>334.07000732421898</v>
      </c>
      <c r="G225" s="33">
        <v>86.370002746582003</v>
      </c>
      <c r="H225" s="33">
        <v>85.519996643066406</v>
      </c>
      <c r="I225" s="33">
        <v>370.60000610351602</v>
      </c>
      <c r="J225" s="33">
        <v>96.819999694824205</v>
      </c>
      <c r="L225" s="34">
        <f t="shared" si="30"/>
        <v>7.413148068902432E-3</v>
      </c>
      <c r="N225" s="34">
        <f t="shared" si="31"/>
        <v>-1.352504438058455E-3</v>
      </c>
      <c r="O225" s="34">
        <f t="shared" si="32"/>
        <v>1.7348699838890536E-2</v>
      </c>
      <c r="P225" s="34">
        <f t="shared" si="33"/>
        <v>3.0186076074363744E-2</v>
      </c>
      <c r="Q225" s="34">
        <f t="shared" si="34"/>
        <v>3.9353099924976931E-5</v>
      </c>
      <c r="R225" s="34">
        <f t="shared" si="35"/>
        <v>2.0590905289592065E-2</v>
      </c>
      <c r="S225" s="34">
        <f t="shared" si="36"/>
        <v>-1.5950711519082672E-2</v>
      </c>
      <c r="T225" s="34">
        <f t="shared" si="37"/>
        <v>-1.0414273836472976E-2</v>
      </c>
      <c r="U225" s="34">
        <f t="shared" si="38"/>
        <v>6.0263890311018642E-3</v>
      </c>
      <c r="V225" s="34">
        <f t="shared" si="39"/>
        <v>4.0443781853589655E-3</v>
      </c>
    </row>
    <row r="226" spans="1:22" ht="15" customHeight="1" x14ac:dyDescent="0.2">
      <c r="A226" s="32">
        <v>46205</v>
      </c>
      <c r="B226" s="33">
        <v>744.780029296875</v>
      </c>
      <c r="C226" s="33">
        <v>308.63000488281301</v>
      </c>
      <c r="D226" s="33">
        <v>390.489990234375</v>
      </c>
      <c r="E226" s="33">
        <v>263.04000854492199</v>
      </c>
      <c r="F226" s="33">
        <v>334.47000122070301</v>
      </c>
      <c r="G226" s="33">
        <v>88.339996337890597</v>
      </c>
      <c r="H226" s="33">
        <v>85.510002136230497</v>
      </c>
      <c r="I226" s="33">
        <v>378.13000488281301</v>
      </c>
      <c r="J226" s="33">
        <v>98.019996643066406</v>
      </c>
      <c r="L226" s="34">
        <f t="shared" si="30"/>
        <v>1.7513112894039024E-2</v>
      </c>
      <c r="N226" s="34">
        <f t="shared" si="31"/>
        <v>-1.3140694806872411E-3</v>
      </c>
      <c r="O226" s="34">
        <f t="shared" si="32"/>
        <v>4.8406820312652199E-2</v>
      </c>
      <c r="P226" s="34">
        <f t="shared" si="33"/>
        <v>1.6160069415021905E-2</v>
      </c>
      <c r="Q226" s="34">
        <f t="shared" si="34"/>
        <v>3.5672151231556981E-2</v>
      </c>
      <c r="R226" s="34">
        <f t="shared" si="35"/>
        <v>1.1973355515744188E-3</v>
      </c>
      <c r="S226" s="34">
        <f t="shared" si="36"/>
        <v>2.2808770738247386E-2</v>
      </c>
      <c r="T226" s="34">
        <f t="shared" si="37"/>
        <v>-1.1686748395955959E-4</v>
      </c>
      <c r="U226" s="34">
        <f t="shared" si="38"/>
        <v>2.0318398961908457E-2</v>
      </c>
      <c r="V226" s="34">
        <f t="shared" si="39"/>
        <v>1.2394101962658333E-2</v>
      </c>
    </row>
    <row r="227" spans="1:22" ht="15" customHeight="1" x14ac:dyDescent="0.2">
      <c r="A227" s="32">
        <v>46209</v>
      </c>
      <c r="B227" s="33">
        <v>751.280029296875</v>
      </c>
      <c r="C227" s="33">
        <v>312.66000366210898</v>
      </c>
      <c r="D227" s="33">
        <v>386.739990234375</v>
      </c>
      <c r="E227" s="33">
        <v>259.32998657226602</v>
      </c>
      <c r="F227" s="33">
        <v>337.72000122070301</v>
      </c>
      <c r="G227" s="33">
        <v>87.440002441406307</v>
      </c>
      <c r="H227" s="33">
        <v>85.449996948242202</v>
      </c>
      <c r="I227" s="33">
        <v>382.13000488281301</v>
      </c>
      <c r="J227" s="33">
        <v>97.239997863769503</v>
      </c>
      <c r="L227" s="34">
        <f t="shared" si="30"/>
        <v>2.0333187446628558E-3</v>
      </c>
      <c r="N227" s="34">
        <f t="shared" si="31"/>
        <v>8.7274090930398174E-3</v>
      </c>
      <c r="O227" s="34">
        <f t="shared" si="32"/>
        <v>1.3057702477198063E-2</v>
      </c>
      <c r="P227" s="34">
        <f t="shared" si="33"/>
        <v>-9.603319147180267E-3</v>
      </c>
      <c r="Q227" s="34">
        <f t="shared" si="34"/>
        <v>-1.4104401810123735E-2</v>
      </c>
      <c r="R227" s="34">
        <f t="shared" si="35"/>
        <v>9.7168654532202581E-3</v>
      </c>
      <c r="S227" s="34">
        <f t="shared" si="36"/>
        <v>-1.0187841677533171E-2</v>
      </c>
      <c r="T227" s="34">
        <f t="shared" si="37"/>
        <v>-7.0173297262576817E-4</v>
      </c>
      <c r="U227" s="34">
        <f t="shared" si="38"/>
        <v>1.0578372380789069E-2</v>
      </c>
      <c r="V227" s="34">
        <f t="shared" si="39"/>
        <v>-7.9575475006107288E-3</v>
      </c>
    </row>
    <row r="228" spans="1:22" ht="15" customHeight="1" x14ac:dyDescent="0.2">
      <c r="A228" s="32">
        <v>46210</v>
      </c>
      <c r="B228" s="33">
        <v>747.71002197265602</v>
      </c>
      <c r="C228" s="33">
        <v>310.66000366210898</v>
      </c>
      <c r="D228" s="33">
        <v>388.83999633789102</v>
      </c>
      <c r="E228" s="33">
        <v>267.239990234375</v>
      </c>
      <c r="F228" s="33">
        <v>339.22000122070301</v>
      </c>
      <c r="G228" s="33">
        <v>88.470001220703097</v>
      </c>
      <c r="H228" s="33">
        <v>84.550003051757798</v>
      </c>
      <c r="I228" s="33">
        <v>377.489990234375</v>
      </c>
      <c r="J228" s="33">
        <v>98.400001525878906</v>
      </c>
      <c r="L228" s="34">
        <f t="shared" si="30"/>
        <v>1.3319586474695023E-3</v>
      </c>
      <c r="N228" s="34">
        <f t="shared" si="31"/>
        <v>-4.7518996712320183E-3</v>
      </c>
      <c r="O228" s="34">
        <f t="shared" si="32"/>
        <v>-6.3967248019397571E-3</v>
      </c>
      <c r="P228" s="34">
        <f t="shared" si="33"/>
        <v>5.4300205733659457E-3</v>
      </c>
      <c r="Q228" s="34">
        <f t="shared" si="34"/>
        <v>3.0501693100210447E-2</v>
      </c>
      <c r="R228" s="34">
        <f t="shared" si="35"/>
        <v>4.4415491963110121E-3</v>
      </c>
      <c r="S228" s="34">
        <f t="shared" si="36"/>
        <v>1.1779491657573971E-2</v>
      </c>
      <c r="T228" s="34">
        <f t="shared" si="37"/>
        <v>-1.0532404079891755E-2</v>
      </c>
      <c r="U228" s="34">
        <f t="shared" si="38"/>
        <v>-1.2142502784781239E-2</v>
      </c>
      <c r="V228" s="34">
        <f t="shared" si="39"/>
        <v>1.1929285145959589E-2</v>
      </c>
    </row>
    <row r="229" spans="1:22" ht="15" customHeight="1" x14ac:dyDescent="0.2">
      <c r="A229" s="32">
        <v>46211</v>
      </c>
      <c r="B229" s="33">
        <v>745.40002441406295</v>
      </c>
      <c r="C229" s="33">
        <v>313.39001464843801</v>
      </c>
      <c r="D229" s="33">
        <v>383.33999633789102</v>
      </c>
      <c r="E229" s="33">
        <v>263.39999389648398</v>
      </c>
      <c r="F229" s="33">
        <v>330.61999511718801</v>
      </c>
      <c r="G229" s="33">
        <v>87.440002441406307</v>
      </c>
      <c r="H229" s="33">
        <v>84.360000610351605</v>
      </c>
      <c r="I229" s="33">
        <v>374.45001220703102</v>
      </c>
      <c r="J229" s="33">
        <v>96.800003051757798</v>
      </c>
      <c r="L229" s="34">
        <f t="shared" si="30"/>
        <v>-7.452297456148553E-3</v>
      </c>
      <c r="N229" s="34">
        <f t="shared" si="31"/>
        <v>-3.089429713003855E-3</v>
      </c>
      <c r="O229" s="34">
        <f t="shared" si="32"/>
        <v>8.7877774871152337E-3</v>
      </c>
      <c r="P229" s="34">
        <f t="shared" si="33"/>
        <v>-1.4144635458798516E-2</v>
      </c>
      <c r="Q229" s="34">
        <f t="shared" si="34"/>
        <v>-1.4369093242831199E-2</v>
      </c>
      <c r="R229" s="34">
        <f t="shared" si="35"/>
        <v>-2.5352296658709306E-2</v>
      </c>
      <c r="S229" s="34">
        <f t="shared" si="36"/>
        <v>-1.1642350684807679E-2</v>
      </c>
      <c r="T229" s="34">
        <f t="shared" si="37"/>
        <v>-2.2472198054195314E-3</v>
      </c>
      <c r="U229" s="34">
        <f t="shared" si="38"/>
        <v>-8.0531354631590002E-3</v>
      </c>
      <c r="V229" s="34">
        <f t="shared" si="39"/>
        <v>-1.6260146842582257E-2</v>
      </c>
    </row>
    <row r="230" spans="1:22" ht="15" customHeight="1" x14ac:dyDescent="0.2">
      <c r="A230" s="32">
        <v>46212</v>
      </c>
      <c r="B230" s="33">
        <v>751.71002197265602</v>
      </c>
      <c r="C230" s="33">
        <v>316.22000122070301</v>
      </c>
      <c r="D230" s="33">
        <v>384.35998535156301</v>
      </c>
      <c r="E230" s="33">
        <v>259.10000610351602</v>
      </c>
      <c r="F230" s="33">
        <v>335.47000122070301</v>
      </c>
      <c r="G230" s="33">
        <v>87.099998474121094</v>
      </c>
      <c r="H230" s="33">
        <v>84.489997863769503</v>
      </c>
      <c r="I230" s="33">
        <v>378.17999267578102</v>
      </c>
      <c r="J230" s="33">
        <v>97.089996337890597</v>
      </c>
      <c r="L230" s="34">
        <f t="shared" si="30"/>
        <v>4.3102707782242261E-3</v>
      </c>
      <c r="N230" s="34">
        <f t="shared" si="31"/>
        <v>8.4652500025783617E-3</v>
      </c>
      <c r="O230" s="34">
        <f t="shared" si="32"/>
        <v>9.0302384887395171E-3</v>
      </c>
      <c r="P230" s="34">
        <f t="shared" si="33"/>
        <v>2.6607946559611406E-3</v>
      </c>
      <c r="Q230" s="34">
        <f t="shared" si="34"/>
        <v>-1.6324935051660772E-2</v>
      </c>
      <c r="R230" s="34">
        <f t="shared" si="35"/>
        <v>1.4669427666635482E-2</v>
      </c>
      <c r="S230" s="34">
        <f t="shared" si="36"/>
        <v>-3.888425866788503E-3</v>
      </c>
      <c r="T230" s="34">
        <f t="shared" si="37"/>
        <v>1.5409821298879578E-3</v>
      </c>
      <c r="U230" s="34">
        <f t="shared" si="38"/>
        <v>9.9612240543545116E-3</v>
      </c>
      <c r="V230" s="34">
        <f t="shared" si="39"/>
        <v>2.9957983160160406E-3</v>
      </c>
    </row>
    <row r="231" spans="1:22" ht="15" customHeight="1" x14ac:dyDescent="0.2">
      <c r="A231" s="32">
        <v>46213</v>
      </c>
      <c r="B231" s="33">
        <v>754.95001220703102</v>
      </c>
      <c r="C231" s="33">
        <v>315.32000732421898</v>
      </c>
      <c r="D231" s="33">
        <v>385.10000610351602</v>
      </c>
      <c r="E231" s="33">
        <v>256.98001098632801</v>
      </c>
      <c r="F231" s="33">
        <v>336.47000122070301</v>
      </c>
      <c r="G231" s="33">
        <v>87.959999084472699</v>
      </c>
      <c r="H231" s="33">
        <v>84.470001220703097</v>
      </c>
      <c r="I231" s="33">
        <v>377.010009765625</v>
      </c>
      <c r="J231" s="33">
        <v>97.319999694824205</v>
      </c>
      <c r="L231" s="34">
        <f t="shared" si="30"/>
        <v>2.7047160368231745E-4</v>
      </c>
      <c r="N231" s="34">
        <f t="shared" si="31"/>
        <v>4.3101596888019955E-3</v>
      </c>
      <c r="O231" s="34">
        <f t="shared" si="32"/>
        <v>-2.8461004775466314E-3</v>
      </c>
      <c r="P231" s="34">
        <f t="shared" si="33"/>
        <v>1.9253324491521617E-3</v>
      </c>
      <c r="Q231" s="34">
        <f t="shared" si="34"/>
        <v>-8.1821500086767252E-3</v>
      </c>
      <c r="R231" s="34">
        <f t="shared" si="35"/>
        <v>2.980892468361418E-3</v>
      </c>
      <c r="S231" s="34">
        <f t="shared" si="36"/>
        <v>9.8737155616268613E-3</v>
      </c>
      <c r="T231" s="34">
        <f t="shared" si="37"/>
        <v>-2.3667467832877431E-4</v>
      </c>
      <c r="U231" s="34">
        <f t="shared" si="38"/>
        <v>-3.093719744077128E-3</v>
      </c>
      <c r="V231" s="34">
        <f t="shared" si="39"/>
        <v>2.3689707035641216E-3</v>
      </c>
    </row>
    <row r="232" spans="1:22" ht="15" customHeight="1" x14ac:dyDescent="0.2">
      <c r="A232" s="32">
        <v>46216</v>
      </c>
      <c r="B232" s="33">
        <v>749.16998291015602</v>
      </c>
      <c r="C232" s="33">
        <v>317.30999755859398</v>
      </c>
      <c r="D232" s="33">
        <v>390.989990234375</v>
      </c>
      <c r="E232" s="33">
        <v>257.76998901367199</v>
      </c>
      <c r="F232" s="33">
        <v>334.52999877929699</v>
      </c>
      <c r="G232" s="33">
        <v>88.379997253417997</v>
      </c>
      <c r="H232" s="33">
        <v>83.970001220703097</v>
      </c>
      <c r="I232" s="33">
        <v>367.13000488281301</v>
      </c>
      <c r="J232" s="33">
        <v>97.830001831054702</v>
      </c>
      <c r="L232" s="34">
        <f t="shared" si="30"/>
        <v>-1.4248929759441446E-3</v>
      </c>
      <c r="N232" s="34">
        <f t="shared" si="31"/>
        <v>-7.6561748505409311E-3</v>
      </c>
      <c r="O232" s="34">
        <f t="shared" si="32"/>
        <v>6.3110179758711915E-3</v>
      </c>
      <c r="P232" s="34">
        <f t="shared" si="33"/>
        <v>1.5294687191658385E-2</v>
      </c>
      <c r="Q232" s="34">
        <f t="shared" si="34"/>
        <v>3.0740835612541595E-3</v>
      </c>
      <c r="R232" s="34">
        <f t="shared" si="35"/>
        <v>-5.765751580728562E-3</v>
      </c>
      <c r="S232" s="34">
        <f t="shared" si="36"/>
        <v>4.7748769135609326E-3</v>
      </c>
      <c r="T232" s="34">
        <f t="shared" si="37"/>
        <v>-5.9192611906515591E-3</v>
      </c>
      <c r="U232" s="34">
        <f t="shared" si="38"/>
        <v>-2.6206213699615177E-2</v>
      </c>
      <c r="V232" s="34">
        <f t="shared" si="39"/>
        <v>5.2404658634377377E-3</v>
      </c>
    </row>
    <row r="233" spans="1:22" ht="15" customHeight="1" x14ac:dyDescent="0.2">
      <c r="A233" s="32">
        <v>46217</v>
      </c>
      <c r="B233" s="33">
        <v>751.83001708984398</v>
      </c>
      <c r="C233" s="33">
        <v>314.85998535156301</v>
      </c>
      <c r="D233" s="33">
        <v>384.92999267578102</v>
      </c>
      <c r="E233" s="33">
        <v>253.85000610351599</v>
      </c>
      <c r="F233" s="33">
        <v>342.89001464843801</v>
      </c>
      <c r="G233" s="33">
        <v>89.540000915527301</v>
      </c>
      <c r="H233" s="33">
        <v>84.080001831054702</v>
      </c>
      <c r="I233" s="33">
        <v>372.14999389648398</v>
      </c>
      <c r="J233" s="33">
        <v>97.569999694824205</v>
      </c>
      <c r="L233" s="34">
        <f t="shared" si="30"/>
        <v>2.1436303875140277E-5</v>
      </c>
      <c r="N233" s="34">
        <f t="shared" si="31"/>
        <v>3.550641697302126E-3</v>
      </c>
      <c r="O233" s="34">
        <f t="shared" si="32"/>
        <v>-7.7211944971212754E-3</v>
      </c>
      <c r="P233" s="34">
        <f t="shared" si="33"/>
        <v>-1.5499111767442897E-2</v>
      </c>
      <c r="Q233" s="34">
        <f t="shared" si="34"/>
        <v>-1.5207289743679464E-2</v>
      </c>
      <c r="R233" s="34">
        <f t="shared" si="35"/>
        <v>2.4990332405604221E-2</v>
      </c>
      <c r="S233" s="34">
        <f t="shared" si="36"/>
        <v>1.3125183278555053E-2</v>
      </c>
      <c r="T233" s="34">
        <f t="shared" si="37"/>
        <v>1.3099989133320555E-3</v>
      </c>
      <c r="U233" s="34">
        <f t="shared" si="38"/>
        <v>1.3673600487307924E-2</v>
      </c>
      <c r="V233" s="34">
        <f t="shared" si="39"/>
        <v>-2.6576932573251222E-3</v>
      </c>
    </row>
    <row r="234" spans="1:22" ht="15" customHeight="1" x14ac:dyDescent="0.2">
      <c r="A234" s="32">
        <v>46218</v>
      </c>
      <c r="B234" s="33">
        <v>754.80999755859398</v>
      </c>
      <c r="C234" s="33">
        <v>327.5</v>
      </c>
      <c r="D234" s="33">
        <v>395.63000488281301</v>
      </c>
      <c r="E234" s="33">
        <v>247.02000427246099</v>
      </c>
      <c r="F234" s="33">
        <v>346.91000366210898</v>
      </c>
      <c r="G234" s="33">
        <v>89.099998474121094</v>
      </c>
      <c r="H234" s="33">
        <v>84.239997863769503</v>
      </c>
      <c r="I234" s="33">
        <v>372.35000610351602</v>
      </c>
      <c r="J234" s="33">
        <v>97.860000610351605</v>
      </c>
      <c r="L234" s="34">
        <f t="shared" si="30"/>
        <v>9.3835073355700311E-3</v>
      </c>
      <c r="N234" s="34">
        <f t="shared" si="31"/>
        <v>3.9636359296810753E-3</v>
      </c>
      <c r="O234" s="34">
        <f t="shared" si="32"/>
        <v>4.014487466333172E-2</v>
      </c>
      <c r="P234" s="34">
        <f t="shared" si="33"/>
        <v>2.7797294081067792E-2</v>
      </c>
      <c r="Q234" s="34">
        <f t="shared" si="34"/>
        <v>-2.6905659510875979E-2</v>
      </c>
      <c r="R234" s="34">
        <f t="shared" si="35"/>
        <v>1.1723843920601329E-2</v>
      </c>
      <c r="S234" s="34">
        <f t="shared" si="36"/>
        <v>-4.9140321298556389E-3</v>
      </c>
      <c r="T234" s="34">
        <f t="shared" si="37"/>
        <v>1.9029023457479699E-3</v>
      </c>
      <c r="U234" s="34">
        <f t="shared" si="38"/>
        <v>5.3745051810394351E-4</v>
      </c>
      <c r="V234" s="34">
        <f t="shared" si="39"/>
        <v>2.9722344617655327E-3</v>
      </c>
    </row>
    <row r="235" spans="1:22" ht="15" customHeight="1" x14ac:dyDescent="0.2">
      <c r="A235" s="32">
        <v>46219</v>
      </c>
      <c r="B235" s="33">
        <v>750.719970703125</v>
      </c>
      <c r="C235" s="33">
        <v>333.260009765625</v>
      </c>
      <c r="D235" s="33">
        <v>401.10000610351602</v>
      </c>
      <c r="E235" s="33">
        <v>249.97000122070301</v>
      </c>
      <c r="F235" s="33">
        <v>343.14999389648398</v>
      </c>
      <c r="G235" s="33">
        <v>89.349998474121094</v>
      </c>
      <c r="H235" s="33">
        <v>84.209999084472699</v>
      </c>
      <c r="I235" s="33">
        <v>364.95999145507801</v>
      </c>
      <c r="J235" s="33">
        <v>100.06999969482401</v>
      </c>
      <c r="L235" s="34">
        <f t="shared" si="30"/>
        <v>3.5566758393949186E-3</v>
      </c>
      <c r="N235" s="34">
        <f t="shared" si="31"/>
        <v>-5.4186177563864124E-3</v>
      </c>
      <c r="O235" s="34">
        <f t="shared" si="32"/>
        <v>1.7587816078244334E-2</v>
      </c>
      <c r="P235" s="34">
        <f t="shared" si="33"/>
        <v>1.382605250661717E-2</v>
      </c>
      <c r="Q235" s="34">
        <f t="shared" si="34"/>
        <v>1.194234028507335E-2</v>
      </c>
      <c r="R235" s="34">
        <f t="shared" si="35"/>
        <v>-1.0838574056478478E-2</v>
      </c>
      <c r="S235" s="34">
        <f t="shared" si="36"/>
        <v>2.8058361872207449E-3</v>
      </c>
      <c r="T235" s="34">
        <f t="shared" si="37"/>
        <v>-3.5611087437725786E-4</v>
      </c>
      <c r="U235" s="34">
        <f t="shared" si="38"/>
        <v>-1.9846957237281582E-2</v>
      </c>
      <c r="V235" s="34">
        <f t="shared" si="39"/>
        <v>2.2583272743599725E-2</v>
      </c>
    </row>
    <row r="236" spans="1:22" ht="15" customHeight="1" x14ac:dyDescent="0.2">
      <c r="A236" s="32">
        <v>46220</v>
      </c>
      <c r="B236" s="33">
        <v>743.28997802734398</v>
      </c>
      <c r="C236" s="33">
        <v>333.739990234375</v>
      </c>
      <c r="D236" s="33">
        <v>393.82000732421898</v>
      </c>
      <c r="E236" s="33">
        <v>253.03999328613301</v>
      </c>
      <c r="F236" s="33">
        <v>341.10000610351602</v>
      </c>
      <c r="G236" s="33">
        <v>88.800003051757798</v>
      </c>
      <c r="H236" s="33">
        <v>84.519996643066406</v>
      </c>
      <c r="I236" s="33">
        <v>368.41000366210898</v>
      </c>
      <c r="J236" s="33">
        <v>100.01999664306599</v>
      </c>
      <c r="L236" s="34">
        <f t="shared" si="30"/>
        <v>-2.169490753673526E-3</v>
      </c>
      <c r="N236" s="34">
        <f t="shared" si="31"/>
        <v>-9.8971560178718887E-3</v>
      </c>
      <c r="O236" s="34">
        <f t="shared" si="32"/>
        <v>1.4402582208634662E-3</v>
      </c>
      <c r="P236" s="34">
        <f t="shared" si="33"/>
        <v>-1.8150083940458028E-2</v>
      </c>
      <c r="Q236" s="34">
        <f t="shared" si="34"/>
        <v>1.2281441974788976E-2</v>
      </c>
      <c r="R236" s="34">
        <f t="shared" si="35"/>
        <v>-5.9740283532873084E-3</v>
      </c>
      <c r="S236" s="34">
        <f t="shared" si="36"/>
        <v>-6.1555168635240021E-3</v>
      </c>
      <c r="T236" s="34">
        <f t="shared" si="37"/>
        <v>3.681244056097599E-3</v>
      </c>
      <c r="U236" s="34">
        <f t="shared" si="38"/>
        <v>9.4531244185860341E-3</v>
      </c>
      <c r="V236" s="34">
        <f t="shared" si="39"/>
        <v>-4.9968074258521789E-4</v>
      </c>
    </row>
    <row r="237" spans="1:22" ht="15" customHeight="1" x14ac:dyDescent="0.2">
      <c r="A237" s="32">
        <v>46223</v>
      </c>
      <c r="B237" s="33">
        <v>742.09002685546898</v>
      </c>
      <c r="C237" s="33">
        <v>326.58999633789102</v>
      </c>
      <c r="D237" s="33">
        <v>402.29000854492199</v>
      </c>
      <c r="E237" s="33">
        <v>248.82000732421901</v>
      </c>
      <c r="F237" s="33">
        <v>338.86999511718801</v>
      </c>
      <c r="G237" s="33">
        <v>88</v>
      </c>
      <c r="H237" s="33">
        <v>83.889999389648395</v>
      </c>
      <c r="I237" s="33">
        <v>367.60000610351602</v>
      </c>
      <c r="J237" s="33">
        <v>99.480003356933594</v>
      </c>
      <c r="L237" s="34">
        <f t="shared" si="30"/>
        <v>-5.2383031307879852E-3</v>
      </c>
      <c r="N237" s="34">
        <f t="shared" si="31"/>
        <v>-1.6143782471810253E-3</v>
      </c>
      <c r="O237" s="34">
        <f t="shared" si="32"/>
        <v>-2.1423845225927995E-2</v>
      </c>
      <c r="P237" s="34">
        <f t="shared" si="33"/>
        <v>2.1507290292973602E-2</v>
      </c>
      <c r="Q237" s="34">
        <f t="shared" si="34"/>
        <v>-1.6677150149708275E-2</v>
      </c>
      <c r="R237" s="34">
        <f t="shared" si="35"/>
        <v>-6.537704328422822E-3</v>
      </c>
      <c r="S237" s="34">
        <f t="shared" si="36"/>
        <v>-9.0090430660403342E-3</v>
      </c>
      <c r="T237" s="34">
        <f t="shared" si="37"/>
        <v>-7.4538248750591896E-3</v>
      </c>
      <c r="U237" s="34">
        <f t="shared" si="38"/>
        <v>-2.1986307389628701E-3</v>
      </c>
      <c r="V237" s="34">
        <f t="shared" si="39"/>
        <v>-5.3988532719055904E-3</v>
      </c>
    </row>
    <row r="238" spans="1:22" ht="15" customHeight="1" x14ac:dyDescent="0.2">
      <c r="A238" s="32">
        <v>46224</v>
      </c>
      <c r="B238" s="33">
        <v>748.280029296875</v>
      </c>
      <c r="C238" s="33">
        <v>327.739990234375</v>
      </c>
      <c r="D238" s="33">
        <v>397.75</v>
      </c>
      <c r="E238" s="33">
        <v>250.61000061035199</v>
      </c>
      <c r="F238" s="33">
        <v>345.23001098632801</v>
      </c>
      <c r="G238" s="33">
        <v>87.930000305175795</v>
      </c>
      <c r="H238" s="33">
        <v>83.660003662109403</v>
      </c>
      <c r="I238" s="33">
        <v>374.80999755859398</v>
      </c>
      <c r="J238" s="33">
        <v>99.519996643066406</v>
      </c>
      <c r="L238" s="34">
        <f t="shared" si="30"/>
        <v>4.935251785960596E-3</v>
      </c>
      <c r="N238" s="34">
        <f t="shared" si="31"/>
        <v>8.3413092985975545E-3</v>
      </c>
      <c r="O238" s="34">
        <f t="shared" si="32"/>
        <v>3.521215926326704E-3</v>
      </c>
      <c r="P238" s="34">
        <f t="shared" si="33"/>
        <v>-1.1285412136739725E-2</v>
      </c>
      <c r="Q238" s="34">
        <f t="shared" si="34"/>
        <v>7.1939282752313538E-3</v>
      </c>
      <c r="R238" s="34">
        <f t="shared" si="35"/>
        <v>1.8768306314463024E-2</v>
      </c>
      <c r="S238" s="34">
        <f t="shared" si="36"/>
        <v>-7.9545107754774858E-4</v>
      </c>
      <c r="T238" s="34">
        <f t="shared" si="37"/>
        <v>-2.7416346312116868E-3</v>
      </c>
      <c r="U238" s="34">
        <f t="shared" si="38"/>
        <v>1.9613686984128131E-2</v>
      </c>
      <c r="V238" s="34">
        <f t="shared" si="39"/>
        <v>4.0202336935313276E-4</v>
      </c>
    </row>
    <row r="239" spans="1:22" ht="15" customHeight="1" x14ac:dyDescent="0.2">
      <c r="A239" s="32">
        <v>46225</v>
      </c>
      <c r="B239" s="33">
        <v>747.40997314453102</v>
      </c>
      <c r="C239" s="33">
        <v>325.89001464843801</v>
      </c>
      <c r="D239" s="33">
        <v>390.33999633789102</v>
      </c>
      <c r="E239" s="33">
        <v>255.63000488281301</v>
      </c>
      <c r="F239" s="33">
        <v>348.20999145507801</v>
      </c>
      <c r="G239" s="33">
        <v>89.410003662109403</v>
      </c>
      <c r="H239" s="33">
        <v>83.440002441406307</v>
      </c>
      <c r="I239" s="33">
        <v>379.11999511718801</v>
      </c>
      <c r="J239" s="33">
        <v>99.019996643066406</v>
      </c>
      <c r="L239" s="34">
        <f t="shared" si="30"/>
        <v>6.1767909163004285E-4</v>
      </c>
      <c r="N239" s="34">
        <f t="shared" si="31"/>
        <v>-1.1627413779324858E-3</v>
      </c>
      <c r="O239" s="34">
        <f t="shared" si="32"/>
        <v>-5.6446440503462592E-3</v>
      </c>
      <c r="P239" s="34">
        <f t="shared" si="33"/>
        <v>-1.8629801790343126E-2</v>
      </c>
      <c r="Q239" s="34">
        <f t="shared" si="34"/>
        <v>2.0031141056761514E-2</v>
      </c>
      <c r="R239" s="34">
        <f t="shared" si="35"/>
        <v>8.6318696924294613E-3</v>
      </c>
      <c r="S239" s="34">
        <f t="shared" si="36"/>
        <v>1.6831608686421085E-2</v>
      </c>
      <c r="T239" s="34">
        <f t="shared" si="37"/>
        <v>-2.6297060850206666E-3</v>
      </c>
      <c r="U239" s="34">
        <f t="shared" si="38"/>
        <v>1.149915313537031E-2</v>
      </c>
      <c r="V239" s="34">
        <f t="shared" si="39"/>
        <v>-5.0241159250966616E-3</v>
      </c>
    </row>
    <row r="240" spans="1:22" ht="15" customHeight="1" x14ac:dyDescent="0.2">
      <c r="A240" s="32">
        <v>46226</v>
      </c>
      <c r="B240" s="33">
        <v>738.17999267578102</v>
      </c>
      <c r="C240" s="33">
        <v>321.66000366210898</v>
      </c>
      <c r="D240" s="33">
        <v>381.57998657226602</v>
      </c>
      <c r="E240" s="33">
        <v>259.26998901367199</v>
      </c>
      <c r="F240" s="33">
        <v>349.89999389648398</v>
      </c>
      <c r="G240" s="33">
        <v>89.790000915527301</v>
      </c>
      <c r="H240" s="33">
        <v>83.169998168945298</v>
      </c>
      <c r="I240" s="33">
        <v>371.51998901367199</v>
      </c>
      <c r="J240" s="33">
        <v>98.690002441406307</v>
      </c>
      <c r="L240" s="34">
        <f t="shared" si="30"/>
        <v>-7.8740922965772984E-3</v>
      </c>
      <c r="N240" s="34">
        <f t="shared" si="31"/>
        <v>-1.2349287272575782E-2</v>
      </c>
      <c r="O240" s="34">
        <f t="shared" si="32"/>
        <v>-1.2979872951591531E-2</v>
      </c>
      <c r="P240" s="34">
        <f t="shared" si="33"/>
        <v>-2.2441998892785864E-2</v>
      </c>
      <c r="Q240" s="34">
        <f t="shared" si="34"/>
        <v>1.4239267931507538E-2</v>
      </c>
      <c r="R240" s="34">
        <f t="shared" si="35"/>
        <v>4.8534001978055574E-3</v>
      </c>
      <c r="S240" s="34">
        <f t="shared" si="36"/>
        <v>4.2500529901994266E-3</v>
      </c>
      <c r="T240" s="34">
        <f t="shared" si="37"/>
        <v>-3.23590921094008E-3</v>
      </c>
      <c r="U240" s="34">
        <f t="shared" si="38"/>
        <v>-2.0046439653405357E-2</v>
      </c>
      <c r="V240" s="34">
        <f t="shared" si="39"/>
        <v>-3.3326016243933054E-3</v>
      </c>
    </row>
    <row r="241" spans="1:22" ht="15" customHeight="1" x14ac:dyDescent="0.2">
      <c r="A241" s="32">
        <v>46227</v>
      </c>
      <c r="B241" s="33">
        <v>738.92999267578102</v>
      </c>
      <c r="C241" s="33">
        <v>333.01998901367199</v>
      </c>
      <c r="D241" s="33">
        <v>381.70001220703102</v>
      </c>
      <c r="E241" s="33">
        <v>263.39999389648398</v>
      </c>
      <c r="F241" s="33">
        <v>353.20999145507801</v>
      </c>
      <c r="G241" s="33">
        <v>89.779998779296903</v>
      </c>
      <c r="H241" s="33">
        <v>83.25</v>
      </c>
      <c r="I241" s="33">
        <v>371.89999389648398</v>
      </c>
      <c r="J241" s="33">
        <v>100.80999755859401</v>
      </c>
      <c r="L241" s="34">
        <f t="shared" si="30"/>
        <v>1.0335043695871108E-2</v>
      </c>
      <c r="N241" s="34">
        <f t="shared" si="31"/>
        <v>1.0160123647910968E-3</v>
      </c>
      <c r="O241" s="34">
        <f t="shared" si="32"/>
        <v>3.5316748188239933E-2</v>
      </c>
      <c r="P241" s="34">
        <f t="shared" si="33"/>
        <v>3.1454908273143012E-4</v>
      </c>
      <c r="Q241" s="34">
        <f t="shared" si="34"/>
        <v>1.5929359578112257E-2</v>
      </c>
      <c r="R241" s="34">
        <f t="shared" si="35"/>
        <v>9.4598388577660231E-3</v>
      </c>
      <c r="S241" s="34">
        <f t="shared" si="36"/>
        <v>-1.113947669942883E-4</v>
      </c>
      <c r="T241" s="34">
        <f t="shared" si="37"/>
        <v>9.6190733216316993E-4</v>
      </c>
      <c r="U241" s="34">
        <f t="shared" si="38"/>
        <v>1.0228383237758099E-3</v>
      </c>
      <c r="V241" s="34">
        <f t="shared" si="39"/>
        <v>2.1481356416485742E-2</v>
      </c>
    </row>
    <row r="242" spans="1:22" ht="15" customHeight="1" x14ac:dyDescent="0.2">
      <c r="A242" s="32">
        <v>46230</v>
      </c>
      <c r="B242" s="33">
        <v>739.09002685546898</v>
      </c>
      <c r="C242" s="33">
        <v>336.91000366210898</v>
      </c>
      <c r="D242" s="33">
        <v>389.10000610351602</v>
      </c>
      <c r="E242" s="33">
        <v>265.95001220703102</v>
      </c>
      <c r="F242" s="33">
        <v>356.20001220703102</v>
      </c>
      <c r="G242" s="33">
        <v>88.830001831054702</v>
      </c>
      <c r="H242" s="33">
        <v>83.75</v>
      </c>
      <c r="I242" s="33">
        <v>374.63000488281301</v>
      </c>
      <c r="J242" s="33">
        <v>100.540000915527</v>
      </c>
      <c r="L242" s="34">
        <f t="shared" si="30"/>
        <v>6.9142923941663045E-3</v>
      </c>
      <c r="N242" s="34">
        <f t="shared" si="31"/>
        <v>2.1657556368559483E-4</v>
      </c>
      <c r="O242" s="34">
        <f t="shared" si="32"/>
        <v>1.1681024493329417E-2</v>
      </c>
      <c r="P242" s="34">
        <f t="shared" si="33"/>
        <v>1.9386936494178775E-2</v>
      </c>
      <c r="Q242" s="34">
        <f t="shared" si="34"/>
        <v>9.6811631345337101E-3</v>
      </c>
      <c r="R242" s="34">
        <f t="shared" si="35"/>
        <v>8.4652779487788266E-3</v>
      </c>
      <c r="S242" s="34">
        <f t="shared" si="36"/>
        <v>-1.0581387404309806E-2</v>
      </c>
      <c r="T242" s="34">
        <f t="shared" si="37"/>
        <v>6.0060060060060927E-3</v>
      </c>
      <c r="U242" s="34">
        <f t="shared" si="38"/>
        <v>7.3407126408528978E-3</v>
      </c>
      <c r="V242" s="34">
        <f t="shared" si="39"/>
        <v>-2.6782724888975151E-3</v>
      </c>
    </row>
    <row r="243" spans="1:22" ht="15" customHeight="1" x14ac:dyDescent="0.2">
      <c r="A243" s="32">
        <v>46231</v>
      </c>
      <c r="B243" s="33">
        <v>740.85998535156295</v>
      </c>
      <c r="C243" s="33">
        <v>340.07998657226602</v>
      </c>
      <c r="D243" s="33">
        <v>393.35000610351602</v>
      </c>
      <c r="E243" s="33">
        <v>266.73001098632801</v>
      </c>
      <c r="F243" s="33">
        <v>357.30999755859398</v>
      </c>
      <c r="G243" s="33">
        <v>89.279998779296903</v>
      </c>
      <c r="H243" s="33">
        <v>84.239997863769503</v>
      </c>
      <c r="I243" s="33">
        <v>369.36999511718801</v>
      </c>
      <c r="J243" s="33">
        <v>100.949996948242</v>
      </c>
      <c r="L243" s="34">
        <f t="shared" si="30"/>
        <v>3.6611628367369041E-3</v>
      </c>
      <c r="N243" s="34">
        <f t="shared" si="31"/>
        <v>2.3947806515864922E-3</v>
      </c>
      <c r="O243" s="34">
        <f t="shared" si="32"/>
        <v>9.4089901626555061E-3</v>
      </c>
      <c r="P243" s="34">
        <f t="shared" si="33"/>
        <v>1.0922641823010837E-2</v>
      </c>
      <c r="Q243" s="34">
        <f t="shared" si="34"/>
        <v>2.9328773961092569E-3</v>
      </c>
      <c r="R243" s="34">
        <f t="shared" si="35"/>
        <v>3.1161856078707473E-3</v>
      </c>
      <c r="S243" s="34">
        <f t="shared" si="36"/>
        <v>5.0658216702286207E-3</v>
      </c>
      <c r="T243" s="34">
        <f t="shared" si="37"/>
        <v>5.8507207614268975E-3</v>
      </c>
      <c r="U243" s="34">
        <f t="shared" si="38"/>
        <v>-1.4040545864099641E-2</v>
      </c>
      <c r="V243" s="34">
        <f t="shared" si="39"/>
        <v>4.0779394169636607E-3</v>
      </c>
    </row>
    <row r="244" spans="1:22" ht="15" customHeight="1" x14ac:dyDescent="0.2">
      <c r="A244" s="32">
        <v>46232</v>
      </c>
      <c r="B244" s="33">
        <v>729.46002197265602</v>
      </c>
      <c r="C244" s="33">
        <v>338.19000244140602</v>
      </c>
      <c r="D244" s="33">
        <v>390.54000854492199</v>
      </c>
      <c r="E244" s="33">
        <v>265.52999877929699</v>
      </c>
      <c r="F244" s="33">
        <v>344.70999145507801</v>
      </c>
      <c r="G244" s="33">
        <v>88.459999084472699</v>
      </c>
      <c r="H244" s="33">
        <v>82.849998474121094</v>
      </c>
      <c r="I244" s="33">
        <v>371.07998657226602</v>
      </c>
      <c r="J244" s="33">
        <v>100.66000366210901</v>
      </c>
      <c r="L244" s="34">
        <f t="shared" si="30"/>
        <v>-1.0286805724171148E-2</v>
      </c>
      <c r="N244" s="34">
        <f t="shared" si="31"/>
        <v>-1.5387473482586955E-2</v>
      </c>
      <c r="O244" s="34">
        <f t="shared" si="32"/>
        <v>-5.5574694350865039E-3</v>
      </c>
      <c r="P244" s="34">
        <f t="shared" si="33"/>
        <v>-7.1437587771501221E-3</v>
      </c>
      <c r="Q244" s="34">
        <f t="shared" si="34"/>
        <v>-4.4989770839567456E-3</v>
      </c>
      <c r="R244" s="34">
        <f t="shared" si="35"/>
        <v>-3.5263514006348862E-2</v>
      </c>
      <c r="S244" s="34">
        <f t="shared" si="36"/>
        <v>-9.1845845210108967E-3</v>
      </c>
      <c r="T244" s="34">
        <f t="shared" si="37"/>
        <v>-1.6500468006852009E-2</v>
      </c>
      <c r="U244" s="34">
        <f t="shared" si="38"/>
        <v>4.6294812185150302E-3</v>
      </c>
      <c r="V244" s="34">
        <f t="shared" si="39"/>
        <v>-2.872642841997064E-3</v>
      </c>
    </row>
    <row r="245" spans="1:22" ht="15" customHeight="1" x14ac:dyDescent="0.2">
      <c r="A245" s="32">
        <v>46233</v>
      </c>
      <c r="B245" s="33">
        <v>741.69000244140602</v>
      </c>
      <c r="C245" s="33">
        <v>333.42999267578102</v>
      </c>
      <c r="D245" s="33">
        <v>451.10000610351602</v>
      </c>
      <c r="E245" s="33">
        <v>255.82000732421901</v>
      </c>
      <c r="F245" s="33">
        <v>350.85000610351602</v>
      </c>
      <c r="G245" s="33">
        <v>87.930000305175795</v>
      </c>
      <c r="H245" s="33">
        <v>82.800003051757798</v>
      </c>
      <c r="I245" s="33">
        <v>377.16000366210898</v>
      </c>
      <c r="J245" s="33">
        <v>99.489997863769503</v>
      </c>
      <c r="L245" s="34">
        <f t="shared" si="30"/>
        <v>1.8745118393079619E-2</v>
      </c>
      <c r="N245" s="34">
        <f t="shared" si="31"/>
        <v>1.6765799496011979E-2</v>
      </c>
      <c r="O245" s="34">
        <f t="shared" si="32"/>
        <v>-1.4074957069287408E-2</v>
      </c>
      <c r="P245" s="34">
        <f t="shared" si="33"/>
        <v>0.15506733300956554</v>
      </c>
      <c r="Q245" s="34">
        <f t="shared" si="34"/>
        <v>-3.6568340676070732E-2</v>
      </c>
      <c r="R245" s="34">
        <f t="shared" si="35"/>
        <v>1.7812116853706428E-2</v>
      </c>
      <c r="S245" s="34">
        <f t="shared" si="36"/>
        <v>-5.991394808751882E-3</v>
      </c>
      <c r="T245" s="34">
        <f t="shared" si="37"/>
        <v>-6.0344506076137616E-4</v>
      </c>
      <c r="U245" s="34">
        <f t="shared" si="38"/>
        <v>1.6384653740033839E-2</v>
      </c>
      <c r="V245" s="34">
        <f t="shared" si="39"/>
        <v>-1.1623343490696936E-2</v>
      </c>
    </row>
    <row r="246" spans="1:22" ht="15" customHeight="1" x14ac:dyDescent="0.2">
      <c r="A246" s="32">
        <v>46234</v>
      </c>
      <c r="B246" s="33">
        <v>747.030029296875</v>
      </c>
      <c r="C246" s="33">
        <v>308.91000366210898</v>
      </c>
      <c r="D246" s="33">
        <v>464.72000122070301</v>
      </c>
      <c r="E246" s="33">
        <v>256.35000610351602</v>
      </c>
      <c r="F246" s="33">
        <v>351.79000854492199</v>
      </c>
      <c r="G246" s="33">
        <v>86.919998168945298</v>
      </c>
      <c r="H246" s="33">
        <v>82.25</v>
      </c>
      <c r="I246" s="33">
        <v>371.54000854492199</v>
      </c>
      <c r="J246" s="33">
        <v>98.949996948242202</v>
      </c>
      <c r="L246" s="34">
        <f t="shared" si="30"/>
        <v>-9.5432732574087329E-3</v>
      </c>
      <c r="N246" s="34">
        <f t="shared" si="31"/>
        <v>7.1998096750547358E-3</v>
      </c>
      <c r="O246" s="34">
        <f t="shared" si="32"/>
        <v>-7.3538642450544867E-2</v>
      </c>
      <c r="P246" s="34">
        <f t="shared" si="33"/>
        <v>3.0192850660395676E-2</v>
      </c>
      <c r="Q246" s="34">
        <f t="shared" si="34"/>
        <v>2.0717643816861031E-3</v>
      </c>
      <c r="R246" s="34">
        <f t="shared" si="35"/>
        <v>2.6792145505296627E-3</v>
      </c>
      <c r="S246" s="34">
        <f t="shared" si="36"/>
        <v>-1.1486433898841297E-2</v>
      </c>
      <c r="T246" s="34">
        <f t="shared" si="37"/>
        <v>-6.6425486894486907E-3</v>
      </c>
      <c r="U246" s="34">
        <f t="shared" si="38"/>
        <v>-1.4900824749757513E-2</v>
      </c>
      <c r="V246" s="34">
        <f t="shared" si="39"/>
        <v>-5.4276904927339498E-3</v>
      </c>
    </row>
    <row r="247" spans="1:22" ht="15" customHeight="1" x14ac:dyDescent="0.2">
      <c r="A247" s="32">
        <v>46237</v>
      </c>
      <c r="B247" s="33">
        <v>757.66998291015602</v>
      </c>
      <c r="C247" s="33">
        <v>303.42001342773398</v>
      </c>
      <c r="D247" s="33">
        <v>487.64999389648398</v>
      </c>
      <c r="E247" s="33">
        <v>254.41000366210901</v>
      </c>
      <c r="F247" s="33">
        <v>352.64001464843801</v>
      </c>
      <c r="G247" s="33">
        <v>86.550003051757798</v>
      </c>
      <c r="H247" s="33">
        <v>82.190002441406307</v>
      </c>
      <c r="I247" s="33">
        <v>371.70999145507801</v>
      </c>
      <c r="J247" s="33">
        <v>99.069999694824205</v>
      </c>
      <c r="L247" s="34">
        <f t="shared" si="30"/>
        <v>5.3520505220598915E-3</v>
      </c>
      <c r="N247" s="34">
        <f t="shared" si="31"/>
        <v>1.4243006567347338E-2</v>
      </c>
      <c r="O247" s="34">
        <f t="shared" si="32"/>
        <v>-1.7772134826620989E-2</v>
      </c>
      <c r="P247" s="34">
        <f t="shared" si="33"/>
        <v>4.9341523101113838E-2</v>
      </c>
      <c r="Q247" s="34">
        <f t="shared" si="34"/>
        <v>-7.5677877714722674E-3</v>
      </c>
      <c r="R247" s="34">
        <f t="shared" si="35"/>
        <v>2.416231509904998E-3</v>
      </c>
      <c r="S247" s="34">
        <f t="shared" si="36"/>
        <v>-4.2567317646319269E-3</v>
      </c>
      <c r="T247" s="34">
        <f t="shared" si="37"/>
        <v>-7.2945359992326875E-4</v>
      </c>
      <c r="U247" s="34">
        <f t="shared" si="38"/>
        <v>4.5750903333874327E-4</v>
      </c>
      <c r="V247" s="34">
        <f t="shared" si="39"/>
        <v>1.2127614985655288E-3</v>
      </c>
    </row>
    <row r="248" spans="1:22" ht="15" customHeight="1" x14ac:dyDescent="0.2">
      <c r="A248" s="32">
        <v>46238</v>
      </c>
      <c r="B248" s="33">
        <v>771.33001708984398</v>
      </c>
      <c r="C248" s="33">
        <v>309.38000488281301</v>
      </c>
      <c r="D248" s="33">
        <v>492.80999755859398</v>
      </c>
      <c r="E248" s="33">
        <v>254.92999267578099</v>
      </c>
      <c r="F248" s="33">
        <v>357.51998901367199</v>
      </c>
      <c r="G248" s="33">
        <v>87.199996948242202</v>
      </c>
      <c r="H248" s="33">
        <v>82.819999694824205</v>
      </c>
      <c r="I248" s="33">
        <v>374.16000366210898</v>
      </c>
      <c r="J248" s="33">
        <v>98.919998168945298</v>
      </c>
      <c r="L248" s="34">
        <f t="shared" si="30"/>
        <v>1.1198430830053079E-2</v>
      </c>
      <c r="N248" s="34">
        <f t="shared" si="31"/>
        <v>1.8029002715959086E-2</v>
      </c>
      <c r="O248" s="34">
        <f t="shared" si="32"/>
        <v>1.9642710405780583E-2</v>
      </c>
      <c r="P248" s="34">
        <f t="shared" si="33"/>
        <v>1.0581367223815308E-2</v>
      </c>
      <c r="Q248" s="34">
        <f t="shared" si="34"/>
        <v>2.0439016005149302E-3</v>
      </c>
      <c r="R248" s="34">
        <f t="shared" si="35"/>
        <v>1.3838402230385016E-2</v>
      </c>
      <c r="S248" s="34">
        <f t="shared" si="36"/>
        <v>7.5100389782274402E-3</v>
      </c>
      <c r="T248" s="34">
        <f t="shared" si="37"/>
        <v>7.6651324334371385E-3</v>
      </c>
      <c r="U248" s="34">
        <f t="shared" si="38"/>
        <v>6.591192766813414E-3</v>
      </c>
      <c r="V248" s="34">
        <f t="shared" si="39"/>
        <v>-1.5140963595535739E-3</v>
      </c>
    </row>
    <row r="249" spans="1:22" ht="15" customHeight="1" x14ac:dyDescent="0.2">
      <c r="A249" s="32">
        <v>46239</v>
      </c>
      <c r="B249" s="33">
        <v>769.78997802734398</v>
      </c>
      <c r="C249" s="33">
        <v>311</v>
      </c>
      <c r="D249" s="33">
        <v>487.45999145507801</v>
      </c>
      <c r="E249" s="33">
        <v>257.58999633789102</v>
      </c>
      <c r="F249" s="33">
        <v>359.239990234375</v>
      </c>
      <c r="G249" s="33">
        <v>85.910003662109403</v>
      </c>
      <c r="H249" s="33">
        <v>83</v>
      </c>
      <c r="I249" s="33">
        <v>389.64001464843801</v>
      </c>
      <c r="J249" s="33">
        <v>98.919998168945298</v>
      </c>
      <c r="L249" s="34">
        <f t="shared" si="30"/>
        <v>4.4588290406241725E-3</v>
      </c>
      <c r="N249" s="34">
        <f t="shared" si="31"/>
        <v>-1.9966020100066206E-3</v>
      </c>
      <c r="O249" s="34">
        <f t="shared" si="32"/>
        <v>5.2362631444156094E-3</v>
      </c>
      <c r="P249" s="34">
        <f t="shared" si="33"/>
        <v>-1.0856123313285337E-2</v>
      </c>
      <c r="Q249" s="34">
        <f t="shared" si="34"/>
        <v>1.0434251514269688E-2</v>
      </c>
      <c r="R249" s="34">
        <f t="shared" si="35"/>
        <v>4.8109232310287187E-3</v>
      </c>
      <c r="S249" s="34">
        <f t="shared" si="36"/>
        <v>-1.4793501505492856E-2</v>
      </c>
      <c r="T249" s="34">
        <f t="shared" si="37"/>
        <v>2.1733917633308675E-3</v>
      </c>
      <c r="U249" s="34">
        <f t="shared" si="38"/>
        <v>4.137270374924551E-2</v>
      </c>
      <c r="V249" s="34">
        <f t="shared" si="39"/>
        <v>0</v>
      </c>
    </row>
    <row r="250" spans="1:22" ht="15" customHeight="1" x14ac:dyDescent="0.2">
      <c r="A250" s="32">
        <v>46240</v>
      </c>
      <c r="B250" s="33">
        <v>768.55999755859398</v>
      </c>
      <c r="C250" s="33">
        <v>312.41000366210898</v>
      </c>
      <c r="D250" s="33">
        <v>499.85998535156301</v>
      </c>
      <c r="E250" s="33">
        <v>256.98001098632801</v>
      </c>
      <c r="F250" s="33">
        <v>356.29998779296898</v>
      </c>
      <c r="G250" s="33">
        <v>84.599998474121094</v>
      </c>
      <c r="H250" s="33">
        <v>82.519996643066406</v>
      </c>
      <c r="I250" s="33">
        <v>389.67001342773398</v>
      </c>
      <c r="J250" s="33">
        <v>98.040000915527301</v>
      </c>
      <c r="L250" s="34">
        <f t="shared" si="30"/>
        <v>7.7022950262255272E-4</v>
      </c>
      <c r="N250" s="34">
        <f t="shared" si="31"/>
        <v>-1.597813044932006E-3</v>
      </c>
      <c r="O250" s="34">
        <f t="shared" si="32"/>
        <v>4.5337738331479027E-3</v>
      </c>
      <c r="P250" s="34">
        <f t="shared" si="33"/>
        <v>2.5437972580007573E-2</v>
      </c>
      <c r="Q250" s="34">
        <f t="shared" si="34"/>
        <v>-2.3680475182851213E-3</v>
      </c>
      <c r="R250" s="34">
        <f t="shared" si="35"/>
        <v>-8.1839509000317667E-3</v>
      </c>
      <c r="S250" s="34">
        <f t="shared" si="36"/>
        <v>-1.5248575627358374E-2</v>
      </c>
      <c r="T250" s="34">
        <f t="shared" si="37"/>
        <v>-5.7831729751035565E-3</v>
      </c>
      <c r="U250" s="34">
        <f t="shared" si="38"/>
        <v>7.6991012647908974E-5</v>
      </c>
      <c r="V250" s="34">
        <f t="shared" si="39"/>
        <v>-8.8960500374762885E-3</v>
      </c>
    </row>
    <row r="251" spans="1:22" ht="15" customHeight="1" x14ac:dyDescent="0.2">
      <c r="A251" s="32">
        <v>46241</v>
      </c>
      <c r="B251" s="33">
        <v>773.260009765625</v>
      </c>
      <c r="C251" s="33">
        <v>313.32998657226602</v>
      </c>
      <c r="D251" s="33">
        <v>499.989990234375</v>
      </c>
      <c r="E251" s="33">
        <v>259.239990234375</v>
      </c>
      <c r="F251" s="33">
        <v>357.51998901367199</v>
      </c>
      <c r="G251" s="33">
        <v>84.650001525878906</v>
      </c>
      <c r="H251" s="33">
        <v>82.760002136230497</v>
      </c>
      <c r="I251" s="33">
        <v>398.47000122070301</v>
      </c>
      <c r="J251" s="33">
        <v>98.430000305175795</v>
      </c>
      <c r="L251" s="34">
        <f t="shared" si="30"/>
        <v>5.8529301641345576E-3</v>
      </c>
      <c r="N251" s="34">
        <f t="shared" si="31"/>
        <v>6.1153484724172369E-3</v>
      </c>
      <c r="O251" s="34">
        <f t="shared" si="32"/>
        <v>2.944793378486299E-3</v>
      </c>
      <c r="P251" s="34">
        <f t="shared" si="33"/>
        <v>2.6008259637055886E-4</v>
      </c>
      <c r="Q251" s="34">
        <f t="shared" si="34"/>
        <v>8.794377583582591E-3</v>
      </c>
      <c r="R251" s="34">
        <f t="shared" si="35"/>
        <v>3.4240843741255578E-3</v>
      </c>
      <c r="S251" s="34">
        <f t="shared" si="36"/>
        <v>5.9105263191128188E-4</v>
      </c>
      <c r="T251" s="34">
        <f t="shared" si="37"/>
        <v>2.9084525318416876E-3</v>
      </c>
      <c r="U251" s="34">
        <f t="shared" si="38"/>
        <v>2.2583179330531333E-2</v>
      </c>
      <c r="V251" s="34">
        <f t="shared" si="39"/>
        <v>3.9779619135715816E-3</v>
      </c>
    </row>
    <row r="252" spans="1:22" ht="15" customHeight="1" x14ac:dyDescent="0.2">
      <c r="A252" s="32">
        <v>46244</v>
      </c>
      <c r="B252" s="33">
        <v>773.030029296875</v>
      </c>
      <c r="C252" s="33">
        <v>308.260009765625</v>
      </c>
      <c r="D252" s="33">
        <v>506.05999755859398</v>
      </c>
      <c r="E252" s="33">
        <v>261.80999755859398</v>
      </c>
      <c r="F252" s="33">
        <v>359.79000854492199</v>
      </c>
      <c r="G252" s="33">
        <v>84.699996948242202</v>
      </c>
      <c r="H252" s="33">
        <v>82.059997558593807</v>
      </c>
      <c r="I252" s="33">
        <v>402.54000854492199</v>
      </c>
      <c r="J252" s="33">
        <v>97.110000610351605</v>
      </c>
      <c r="L252" s="34">
        <f t="shared" si="30"/>
        <v>-3.7118683542518977E-4</v>
      </c>
      <c r="N252" s="34">
        <f t="shared" si="31"/>
        <v>-2.9741673673222557E-4</v>
      </c>
      <c r="O252" s="34">
        <f t="shared" si="32"/>
        <v>-1.6180949873662032E-2</v>
      </c>
      <c r="P252" s="34">
        <f t="shared" si="33"/>
        <v>1.2140257690706147E-2</v>
      </c>
      <c r="Q252" s="34">
        <f t="shared" si="34"/>
        <v>9.9136222073432645E-3</v>
      </c>
      <c r="R252" s="34">
        <f t="shared" si="35"/>
        <v>6.3493499692492961E-3</v>
      </c>
      <c r="S252" s="34">
        <f t="shared" si="36"/>
        <v>5.9061336635668482E-4</v>
      </c>
      <c r="T252" s="34">
        <f t="shared" si="37"/>
        <v>-8.4582474573214883E-3</v>
      </c>
      <c r="U252" s="34">
        <f t="shared" si="38"/>
        <v>1.0214087162774055E-2</v>
      </c>
      <c r="V252" s="34">
        <f t="shared" si="39"/>
        <v>-1.3410542423362926E-2</v>
      </c>
    </row>
    <row r="253" spans="1:22" ht="15" customHeight="1" x14ac:dyDescent="0.2">
      <c r="A253" s="32">
        <v>46245</v>
      </c>
      <c r="B253" s="33">
        <v>770.55999755859398</v>
      </c>
      <c r="C253" s="33">
        <v>304.91000366210898</v>
      </c>
      <c r="D253" s="33">
        <v>503.80999755859398</v>
      </c>
      <c r="E253" s="33">
        <v>259.79998779296898</v>
      </c>
      <c r="F253" s="33">
        <v>362.04000854492199</v>
      </c>
      <c r="G253" s="33">
        <v>85.739997863769503</v>
      </c>
      <c r="H253" s="33">
        <v>82.190002441406307</v>
      </c>
      <c r="I253" s="33">
        <v>400.95999145507801</v>
      </c>
      <c r="J253" s="33">
        <v>96.379997253417997</v>
      </c>
      <c r="L253" s="34">
        <f t="shared" si="30"/>
        <v>-3.4734071479291901E-3</v>
      </c>
      <c r="N253" s="34">
        <f t="shared" si="31"/>
        <v>-3.1952597501647695E-3</v>
      </c>
      <c r="O253" s="34">
        <f t="shared" si="32"/>
        <v>-1.0867469011186626E-2</v>
      </c>
      <c r="P253" s="34">
        <f t="shared" si="33"/>
        <v>-4.4461131305670865E-3</v>
      </c>
      <c r="Q253" s="34">
        <f t="shared" si="34"/>
        <v>-7.6773606217048762E-3</v>
      </c>
      <c r="R253" s="34">
        <f t="shared" si="35"/>
        <v>6.2536478127881434E-3</v>
      </c>
      <c r="S253" s="34">
        <f t="shared" si="36"/>
        <v>1.2278641711909621E-2</v>
      </c>
      <c r="T253" s="34">
        <f t="shared" si="37"/>
        <v>1.5842662281297937E-3</v>
      </c>
      <c r="U253" s="34">
        <f t="shared" si="38"/>
        <v>-3.9251181405677293E-3</v>
      </c>
      <c r="V253" s="34">
        <f t="shared" si="39"/>
        <v>-7.5172830022183224E-3</v>
      </c>
    </row>
    <row r="254" spans="1:22" ht="15" customHeight="1" x14ac:dyDescent="0.2">
      <c r="A254" s="32">
        <v>46246</v>
      </c>
      <c r="B254" s="33">
        <v>772.489990234375</v>
      </c>
      <c r="C254" s="33">
        <v>302.25</v>
      </c>
      <c r="D254" s="33">
        <v>492.42999267578102</v>
      </c>
      <c r="E254" s="33">
        <v>260.85998535156301</v>
      </c>
      <c r="F254" s="33">
        <v>365.17999267578102</v>
      </c>
      <c r="G254" s="33">
        <v>85.779998779296903</v>
      </c>
      <c r="H254" s="33">
        <v>82.110000610351605</v>
      </c>
      <c r="I254" s="33">
        <v>404.92001342773398</v>
      </c>
      <c r="J254" s="33">
        <v>97.309997558593807</v>
      </c>
      <c r="L254" s="34">
        <f t="shared" si="30"/>
        <v>-9.5574824806906754E-4</v>
      </c>
      <c r="N254" s="34">
        <f t="shared" si="31"/>
        <v>2.5046624297859754E-3</v>
      </c>
      <c r="O254" s="34">
        <f t="shared" si="32"/>
        <v>-8.7238976424555137E-3</v>
      </c>
      <c r="P254" s="34">
        <f t="shared" si="33"/>
        <v>-2.2587890152952816E-2</v>
      </c>
      <c r="Q254" s="34">
        <f t="shared" si="34"/>
        <v>4.0800523802899669E-3</v>
      </c>
      <c r="R254" s="34">
        <f t="shared" si="35"/>
        <v>8.6730307611000423E-3</v>
      </c>
      <c r="S254" s="34">
        <f t="shared" si="36"/>
        <v>4.6653739822755114E-4</v>
      </c>
      <c r="T254" s="34">
        <f t="shared" si="37"/>
        <v>-9.7337667208041712E-4</v>
      </c>
      <c r="U254" s="34">
        <f t="shared" si="38"/>
        <v>9.8763518980662379E-3</v>
      </c>
      <c r="V254" s="34">
        <f t="shared" si="39"/>
        <v>9.6493082763895455E-3</v>
      </c>
    </row>
    <row r="255" spans="1:22" ht="15" customHeight="1" x14ac:dyDescent="0.2">
      <c r="A255" s="32">
        <v>46247</v>
      </c>
      <c r="B255" s="33">
        <v>777.88000488281295</v>
      </c>
      <c r="C255" s="33">
        <v>305.260009765625</v>
      </c>
      <c r="D255" s="33">
        <v>496.88000488281301</v>
      </c>
      <c r="E255" s="33">
        <v>262.07998657226602</v>
      </c>
      <c r="F255" s="33">
        <v>363.10998535156301</v>
      </c>
      <c r="G255" s="33">
        <v>86.010002136230497</v>
      </c>
      <c r="H255" s="33">
        <v>82.589996337890597</v>
      </c>
      <c r="I255" s="33">
        <v>398.95999145507801</v>
      </c>
      <c r="J255" s="33">
        <v>98.580001831054702</v>
      </c>
      <c r="L255" s="34">
        <f t="shared" si="30"/>
        <v>4.2753610952081661E-3</v>
      </c>
      <c r="N255" s="34">
        <f t="shared" si="31"/>
        <v>6.9774556519530684E-3</v>
      </c>
      <c r="O255" s="34">
        <f t="shared" si="32"/>
        <v>9.958675816790663E-3</v>
      </c>
      <c r="P255" s="34">
        <f t="shared" si="33"/>
        <v>9.0368423394591169E-3</v>
      </c>
      <c r="Q255" s="34">
        <f t="shared" si="34"/>
        <v>4.6768430928907367E-3</v>
      </c>
      <c r="R255" s="34">
        <f t="shared" si="35"/>
        <v>-5.6684576530342534E-3</v>
      </c>
      <c r="S255" s="34">
        <f t="shared" si="36"/>
        <v>2.681316859485694E-3</v>
      </c>
      <c r="T255" s="34">
        <f t="shared" si="37"/>
        <v>5.8457645106688716E-3</v>
      </c>
      <c r="U255" s="34">
        <f t="shared" si="38"/>
        <v>-1.4719010607065597E-2</v>
      </c>
      <c r="V255" s="34">
        <f t="shared" si="39"/>
        <v>1.3051118120686267E-2</v>
      </c>
    </row>
    <row r="256" spans="1:22" ht="15" customHeight="1" x14ac:dyDescent="0.2">
      <c r="A256" s="32">
        <v>46248</v>
      </c>
      <c r="B256" s="33">
        <v>776.34002685546898</v>
      </c>
      <c r="C256" s="33">
        <v>305.92999267578102</v>
      </c>
      <c r="D256" s="33">
        <v>495.39999389648398</v>
      </c>
      <c r="E256" s="33">
        <v>260.35000610351602</v>
      </c>
      <c r="F256" s="33">
        <v>362.83999633789102</v>
      </c>
      <c r="G256" s="33">
        <v>86.190002441406307</v>
      </c>
      <c r="H256" s="33">
        <v>82.040000915527301</v>
      </c>
      <c r="I256" s="33">
        <v>401.48001098632801</v>
      </c>
      <c r="J256" s="33">
        <v>98.830001831054702</v>
      </c>
      <c r="L256" s="34">
        <f t="shared" si="30"/>
        <v>-9.2881341747261129E-4</v>
      </c>
      <c r="N256" s="34">
        <f t="shared" si="31"/>
        <v>-1.9797115463534576E-3</v>
      </c>
      <c r="O256" s="34">
        <f t="shared" si="32"/>
        <v>2.1947942367899209E-3</v>
      </c>
      <c r="P256" s="34">
        <f t="shared" si="33"/>
        <v>-2.9786084603627971E-3</v>
      </c>
      <c r="Q256" s="34">
        <f t="shared" si="34"/>
        <v>-6.6009636652395454E-3</v>
      </c>
      <c r="R256" s="34">
        <f t="shared" si="35"/>
        <v>-7.4354610053095627E-4</v>
      </c>
      <c r="S256" s="34">
        <f t="shared" si="36"/>
        <v>2.0927834054778049E-3</v>
      </c>
      <c r="T256" s="34">
        <f t="shared" si="37"/>
        <v>-6.6593467338728063E-3</v>
      </c>
      <c r="U256" s="34">
        <f t="shared" si="38"/>
        <v>6.3164717897126188E-3</v>
      </c>
      <c r="V256" s="34">
        <f t="shared" si="39"/>
        <v>2.5360113142263163E-3</v>
      </c>
    </row>
    <row r="257" spans="1:22" ht="15" customHeight="1" x14ac:dyDescent="0.2">
      <c r="A257" s="32">
        <v>46251</v>
      </c>
      <c r="B257" s="33">
        <v>772.66998291015602</v>
      </c>
      <c r="C257" s="33">
        <v>305.58999633789102</v>
      </c>
      <c r="D257" s="33">
        <v>480.35000610351602</v>
      </c>
      <c r="E257" s="33">
        <v>262.36999511718801</v>
      </c>
      <c r="F257" s="33">
        <v>360.95999145507801</v>
      </c>
      <c r="G257" s="33">
        <v>86.220001220703097</v>
      </c>
      <c r="H257" s="33">
        <v>81.349998474121094</v>
      </c>
      <c r="I257" s="33">
        <v>405.489990234375</v>
      </c>
      <c r="J257" s="33">
        <v>97.980003356933594</v>
      </c>
      <c r="L257" s="34">
        <f t="shared" si="30"/>
        <v>-5.0448643996895779E-3</v>
      </c>
      <c r="N257" s="34">
        <f t="shared" si="31"/>
        <v>-4.7273666413649718E-3</v>
      </c>
      <c r="O257" s="34">
        <f t="shared" si="32"/>
        <v>-1.1113534012022752E-3</v>
      </c>
      <c r="P257" s="34">
        <f t="shared" si="33"/>
        <v>-3.0379467053672782E-2</v>
      </c>
      <c r="Q257" s="34">
        <f t="shared" si="34"/>
        <v>7.7587438690853716E-3</v>
      </c>
      <c r="R257" s="34">
        <f t="shared" si="35"/>
        <v>-5.1813606597611583E-3</v>
      </c>
      <c r="S257" s="34">
        <f t="shared" si="36"/>
        <v>3.4805404857918276E-4</v>
      </c>
      <c r="T257" s="34">
        <f t="shared" si="37"/>
        <v>-8.4105611129462465E-3</v>
      </c>
      <c r="U257" s="34">
        <f t="shared" si="38"/>
        <v>9.9879922743739691E-3</v>
      </c>
      <c r="V257" s="34">
        <f t="shared" si="39"/>
        <v>-8.6006117411000504E-3</v>
      </c>
    </row>
    <row r="258" spans="1:22" ht="15" customHeight="1" x14ac:dyDescent="0.2">
      <c r="A258" s="32">
        <v>46252</v>
      </c>
      <c r="B258" s="33">
        <v>767.45001220703102</v>
      </c>
      <c r="C258" s="33">
        <v>310.02999877929699</v>
      </c>
      <c r="D258" s="33">
        <v>481.63000488281301</v>
      </c>
      <c r="E258" s="33">
        <v>271.10998535156301</v>
      </c>
      <c r="F258" s="33">
        <v>363.25</v>
      </c>
      <c r="G258" s="33">
        <v>86.220001220703097</v>
      </c>
      <c r="H258" s="33">
        <v>81.660003662109403</v>
      </c>
      <c r="I258" s="33">
        <v>398.54998779296898</v>
      </c>
      <c r="J258" s="33">
        <v>97.620002746582003</v>
      </c>
      <c r="L258" s="34">
        <f t="shared" si="30"/>
        <v>3.8563702066087158E-3</v>
      </c>
      <c r="N258" s="34">
        <f t="shared" si="31"/>
        <v>-6.7557570742746709E-3</v>
      </c>
      <c r="O258" s="34">
        <f t="shared" si="32"/>
        <v>1.4529279409057239E-2</v>
      </c>
      <c r="P258" s="34">
        <f t="shared" si="33"/>
        <v>2.6647210638759411E-3</v>
      </c>
      <c r="Q258" s="34">
        <f t="shared" si="34"/>
        <v>3.3311698734724837E-2</v>
      </c>
      <c r="R258" s="34">
        <f t="shared" si="35"/>
        <v>6.3442170853635904E-3</v>
      </c>
      <c r="S258" s="34">
        <f t="shared" si="36"/>
        <v>0</v>
      </c>
      <c r="T258" s="34">
        <f t="shared" si="37"/>
        <v>3.8107583749609208E-3</v>
      </c>
      <c r="U258" s="34">
        <f t="shared" si="38"/>
        <v>-1.7115101749847539E-2</v>
      </c>
      <c r="V258" s="34">
        <f t="shared" si="39"/>
        <v>-3.6742253318785556E-3</v>
      </c>
    </row>
    <row r="259" spans="1:22" ht="15" customHeight="1" x14ac:dyDescent="0.2">
      <c r="A259" s="32">
        <v>46253</v>
      </c>
      <c r="B259" s="33">
        <v>769.05999755859398</v>
      </c>
      <c r="C259" s="33">
        <v>316.82998657226602</v>
      </c>
      <c r="D259" s="33">
        <v>484.30999755859398</v>
      </c>
      <c r="E259" s="33">
        <v>273.41000366210898</v>
      </c>
      <c r="F259" s="33">
        <v>357.260009765625</v>
      </c>
      <c r="G259" s="33">
        <v>85.910003662109403</v>
      </c>
      <c r="H259" s="33">
        <v>83.019996643066406</v>
      </c>
      <c r="I259" s="33">
        <v>413.83999633789102</v>
      </c>
      <c r="J259" s="33">
        <v>98.610000610351605</v>
      </c>
      <c r="L259" s="34">
        <f t="shared" si="30"/>
        <v>1.034850352891261E-2</v>
      </c>
      <c r="N259" s="34">
        <f t="shared" si="31"/>
        <v>2.0978374173621361E-3</v>
      </c>
      <c r="O259" s="34">
        <f t="shared" si="32"/>
        <v>2.1933322000267985E-2</v>
      </c>
      <c r="P259" s="34">
        <f t="shared" si="33"/>
        <v>5.5644221676618422E-3</v>
      </c>
      <c r="Q259" s="34">
        <f t="shared" si="34"/>
        <v>8.4837093239609196E-3</v>
      </c>
      <c r="R259" s="34">
        <f t="shared" si="35"/>
        <v>-1.6489993762904387E-2</v>
      </c>
      <c r="S259" s="34">
        <f t="shared" si="36"/>
        <v>-3.5954251241562263E-3</v>
      </c>
      <c r="T259" s="34">
        <f t="shared" si="37"/>
        <v>1.6654334067683241E-2</v>
      </c>
      <c r="U259" s="34">
        <f t="shared" si="38"/>
        <v>3.8364092367918046E-2</v>
      </c>
      <c r="V259" s="34">
        <f t="shared" si="39"/>
        <v>1.0141342306039469E-2</v>
      </c>
    </row>
    <row r="260" spans="1:22" ht="15" customHeight="1" x14ac:dyDescent="0.2">
      <c r="A260" s="32">
        <v>46254</v>
      </c>
      <c r="B260" s="33">
        <v>762.59997558593795</v>
      </c>
      <c r="C260" s="33">
        <v>311.29998779296898</v>
      </c>
      <c r="D260" s="33">
        <v>481.14999389648398</v>
      </c>
      <c r="E260" s="33">
        <v>267.36999511718801</v>
      </c>
      <c r="F260" s="33">
        <v>351.54998779296898</v>
      </c>
      <c r="G260" s="33">
        <v>85.029998779296903</v>
      </c>
      <c r="H260" s="33">
        <v>82.339996337890597</v>
      </c>
      <c r="I260" s="33">
        <v>415.260009765625</v>
      </c>
      <c r="J260" s="33">
        <v>98.599998474121094</v>
      </c>
      <c r="L260" s="34">
        <f t="shared" si="30"/>
        <v>-1.0015558021227748E-2</v>
      </c>
      <c r="N260" s="34">
        <f t="shared" si="31"/>
        <v>-8.399893367440181E-3</v>
      </c>
      <c r="O260" s="34">
        <f t="shared" si="32"/>
        <v>-1.7454152112068799E-2</v>
      </c>
      <c r="P260" s="34">
        <f t="shared" si="33"/>
        <v>-6.5247541410244914E-3</v>
      </c>
      <c r="Q260" s="34">
        <f t="shared" si="34"/>
        <v>-2.2091395574484696E-2</v>
      </c>
      <c r="R260" s="34">
        <f t="shared" si="35"/>
        <v>-1.598281872186591E-2</v>
      </c>
      <c r="S260" s="34">
        <f t="shared" si="36"/>
        <v>-1.024333424863566E-2</v>
      </c>
      <c r="T260" s="34">
        <f t="shared" si="37"/>
        <v>-8.1908014053455602E-3</v>
      </c>
      <c r="U260" s="34">
        <f t="shared" si="38"/>
        <v>3.4313102655612049E-3</v>
      </c>
      <c r="V260" s="34">
        <f t="shared" si="39"/>
        <v>-1.0143125614647808E-4</v>
      </c>
    </row>
    <row r="261" spans="1:22" ht="15" customHeight="1" x14ac:dyDescent="0.2">
      <c r="A261" s="32">
        <v>46255</v>
      </c>
      <c r="B261" s="33">
        <v>765.719970703125</v>
      </c>
      <c r="C261" s="33">
        <v>309.35000610351602</v>
      </c>
      <c r="D261" s="33">
        <v>483.239990234375</v>
      </c>
      <c r="E261" s="33">
        <v>270.239990234375</v>
      </c>
      <c r="F261" s="33">
        <v>351.57998657226602</v>
      </c>
      <c r="G261" s="33">
        <v>83.650001525878906</v>
      </c>
      <c r="H261" s="33">
        <v>82.050003051757798</v>
      </c>
      <c r="I261" s="33">
        <v>423.35998535156301</v>
      </c>
      <c r="J261" s="33">
        <v>98.5</v>
      </c>
      <c r="L261" s="34">
        <f t="shared" si="30"/>
        <v>2.3064931861615772E-3</v>
      </c>
      <c r="N261" s="34">
        <f t="shared" si="31"/>
        <v>4.0912604472480574E-3</v>
      </c>
      <c r="O261" s="34">
        <f t="shared" si="32"/>
        <v>-6.2639953932468462E-3</v>
      </c>
      <c r="P261" s="34">
        <f t="shared" si="33"/>
        <v>4.3437521862270678E-3</v>
      </c>
      <c r="Q261" s="34">
        <f t="shared" si="34"/>
        <v>1.0734170511276231E-2</v>
      </c>
      <c r="R261" s="34">
        <f t="shared" si="35"/>
        <v>8.5332898133172463E-5</v>
      </c>
      <c r="S261" s="34">
        <f t="shared" si="36"/>
        <v>-1.6229533967181409E-2</v>
      </c>
      <c r="T261" s="34">
        <f t="shared" si="37"/>
        <v>-3.5219006440415646E-3</v>
      </c>
      <c r="U261" s="34">
        <f t="shared" si="38"/>
        <v>1.9505792504579622E-2</v>
      </c>
      <c r="V261" s="34">
        <f t="shared" si="39"/>
        <v>-1.0141833232111264E-3</v>
      </c>
    </row>
    <row r="262" spans="1:22" ht="15" customHeight="1" x14ac:dyDescent="0.2">
      <c r="A262" s="32">
        <v>46258</v>
      </c>
      <c r="B262" s="33">
        <v>763.469970703125</v>
      </c>
      <c r="C262" s="33">
        <v>310.33999633789102</v>
      </c>
      <c r="D262" s="33">
        <v>487.30999755859398</v>
      </c>
      <c r="E262" s="33">
        <v>273.04000854492199</v>
      </c>
      <c r="F262" s="33">
        <v>356.39001464843801</v>
      </c>
      <c r="G262" s="33">
        <v>84.099998474121094</v>
      </c>
      <c r="H262" s="33">
        <v>82.559997558593807</v>
      </c>
      <c r="I262" s="33">
        <v>426.69000244140602</v>
      </c>
      <c r="J262" s="33">
        <v>99.099998474121094</v>
      </c>
      <c r="L262" s="34">
        <f t="shared" si="30"/>
        <v>5.4537735465788762E-3</v>
      </c>
      <c r="N262" s="34">
        <f t="shared" si="31"/>
        <v>-2.9384110198065194E-3</v>
      </c>
      <c r="O262" s="34">
        <f t="shared" si="32"/>
        <v>3.2002269754076718E-3</v>
      </c>
      <c r="P262" s="34">
        <f t="shared" si="33"/>
        <v>8.4223313601281546E-3</v>
      </c>
      <c r="Q262" s="34">
        <f t="shared" si="34"/>
        <v>1.03612285810053E-2</v>
      </c>
      <c r="R262" s="34">
        <f t="shared" si="35"/>
        <v>1.3681177142838674E-2</v>
      </c>
      <c r="S262" s="34">
        <f t="shared" si="36"/>
        <v>5.3795211002234389E-3</v>
      </c>
      <c r="T262" s="34">
        <f t="shared" si="37"/>
        <v>6.2156549404916994E-3</v>
      </c>
      <c r="U262" s="34">
        <f t="shared" si="38"/>
        <v>7.8656868978246308E-3</v>
      </c>
      <c r="V262" s="34">
        <f t="shared" si="39"/>
        <v>6.0913550672192507E-3</v>
      </c>
    </row>
    <row r="263" spans="1:22" ht="15" customHeight="1" x14ac:dyDescent="0.2">
      <c r="A263" s="32">
        <v>46259</v>
      </c>
      <c r="B263" s="33">
        <v>765.90997314453102</v>
      </c>
      <c r="C263" s="33">
        <v>309.89999389648398</v>
      </c>
      <c r="D263" s="33">
        <v>491.70999145507801</v>
      </c>
      <c r="E263" s="33">
        <v>273.14001464843801</v>
      </c>
      <c r="F263" s="33">
        <v>356.69000244140602</v>
      </c>
      <c r="G263" s="33">
        <v>84.220001220703097</v>
      </c>
      <c r="H263" s="33">
        <v>83.470001220703097</v>
      </c>
      <c r="I263" s="33">
        <v>428.07000732421898</v>
      </c>
      <c r="J263" s="33">
        <v>99.25</v>
      </c>
      <c r="L263" s="34">
        <f t="shared" si="30"/>
        <v>3.2814766961735101E-3</v>
      </c>
      <c r="N263" s="34">
        <f t="shared" si="31"/>
        <v>3.1959376727794808E-3</v>
      </c>
      <c r="O263" s="34">
        <f t="shared" si="32"/>
        <v>-1.4178077160508229E-3</v>
      </c>
      <c r="P263" s="34">
        <f t="shared" si="33"/>
        <v>9.0291476032255957E-3</v>
      </c>
      <c r="Q263" s="34">
        <f t="shared" si="34"/>
        <v>3.6626904624337264E-4</v>
      </c>
      <c r="R263" s="34">
        <f t="shared" si="35"/>
        <v>8.4174017407279145E-4</v>
      </c>
      <c r="S263" s="34">
        <f t="shared" si="36"/>
        <v>1.4269054549260751E-3</v>
      </c>
      <c r="T263" s="34">
        <f t="shared" si="37"/>
        <v>1.1022331504593863E-2</v>
      </c>
      <c r="U263" s="34">
        <f t="shared" si="38"/>
        <v>3.2342095547515104E-3</v>
      </c>
      <c r="V263" s="34">
        <f t="shared" si="39"/>
        <v>1.5136380241023151E-3</v>
      </c>
    </row>
    <row r="264" spans="1:22" ht="15" customHeight="1" x14ac:dyDescent="0.2">
      <c r="A264" s="32">
        <v>46260</v>
      </c>
      <c r="B264" s="33">
        <v>766.08001708984398</v>
      </c>
      <c r="C264" s="33">
        <v>313.45001220703102</v>
      </c>
      <c r="D264" s="33">
        <v>496.36999511718801</v>
      </c>
      <c r="E264" s="33">
        <v>270</v>
      </c>
      <c r="F264" s="33">
        <v>356.5</v>
      </c>
      <c r="G264" s="33">
        <v>84.220001220703097</v>
      </c>
      <c r="H264" s="33">
        <v>83.300003051757798</v>
      </c>
      <c r="I264" s="33">
        <v>421.32000732421898</v>
      </c>
      <c r="J264" s="33">
        <v>98.610000610351605</v>
      </c>
      <c r="L264" s="34">
        <f t="shared" si="30"/>
        <v>-4.1821229809175262E-4</v>
      </c>
      <c r="N264" s="34">
        <f t="shared" si="31"/>
        <v>2.2201557790779702E-4</v>
      </c>
      <c r="O264" s="34">
        <f t="shared" si="32"/>
        <v>1.1455367474879186E-2</v>
      </c>
      <c r="P264" s="34">
        <f t="shared" si="33"/>
        <v>9.47713844154352E-3</v>
      </c>
      <c r="Q264" s="34">
        <f t="shared" si="34"/>
        <v>-1.1495989163212039E-2</v>
      </c>
      <c r="R264" s="34">
        <f t="shared" si="35"/>
        <v>-5.3268227341818353E-4</v>
      </c>
      <c r="S264" s="34">
        <f t="shared" si="36"/>
        <v>0</v>
      </c>
      <c r="T264" s="34">
        <f t="shared" si="37"/>
        <v>-2.0366379113354593E-3</v>
      </c>
      <c r="U264" s="34">
        <f t="shared" si="38"/>
        <v>-1.5768448815633995E-2</v>
      </c>
      <c r="V264" s="34">
        <f t="shared" si="39"/>
        <v>-6.4483565707647017E-3</v>
      </c>
    </row>
    <row r="265" spans="1:22" ht="15" customHeight="1" x14ac:dyDescent="0.2">
      <c r="A265" s="32">
        <v>46261</v>
      </c>
      <c r="B265" s="33">
        <v>771.09997558593795</v>
      </c>
      <c r="C265" s="33">
        <v>314.57998657226602</v>
      </c>
      <c r="D265" s="33">
        <v>505.05999755859398</v>
      </c>
      <c r="E265" s="33">
        <v>265.76998901367199</v>
      </c>
      <c r="F265" s="33">
        <v>354.22000122070301</v>
      </c>
      <c r="G265" s="33">
        <v>83.470001220703097</v>
      </c>
      <c r="H265" s="33">
        <v>83.129997253417997</v>
      </c>
      <c r="I265" s="33">
        <v>422.60000610351602</v>
      </c>
      <c r="J265" s="33">
        <v>97.650001525878906</v>
      </c>
      <c r="L265" s="34">
        <f t="shared" si="30"/>
        <v>8.6625399241409187E-4</v>
      </c>
      <c r="N265" s="34">
        <f t="shared" si="31"/>
        <v>6.5527861112519847E-3</v>
      </c>
      <c r="O265" s="34">
        <f t="shared" si="32"/>
        <v>3.6049587533231175E-3</v>
      </c>
      <c r="P265" s="34">
        <f t="shared" si="33"/>
        <v>1.7507106648044557E-2</v>
      </c>
      <c r="Q265" s="34">
        <f t="shared" si="34"/>
        <v>-1.5666707356770448E-2</v>
      </c>
      <c r="R265" s="34">
        <f t="shared" si="35"/>
        <v>-6.3955084973267295E-3</v>
      </c>
      <c r="S265" s="34">
        <f t="shared" si="36"/>
        <v>-8.9052480305074067E-3</v>
      </c>
      <c r="T265" s="34">
        <f t="shared" si="37"/>
        <v>-2.0408858596819845E-3</v>
      </c>
      <c r="U265" s="34">
        <f t="shared" si="38"/>
        <v>3.0380678748826995E-3</v>
      </c>
      <c r="V265" s="34">
        <f t="shared" si="39"/>
        <v>-9.7353116167806508E-3</v>
      </c>
    </row>
    <row r="266" spans="1:22" ht="15" customHeight="1" x14ac:dyDescent="0.2">
      <c r="A266" s="32">
        <v>46262</v>
      </c>
      <c r="B266" s="33">
        <v>769.34997558593795</v>
      </c>
      <c r="C266" s="33">
        <v>319.70001220703102</v>
      </c>
      <c r="D266" s="33">
        <v>513.530029296875</v>
      </c>
      <c r="E266" s="33">
        <v>268.04000854492199</v>
      </c>
      <c r="F266" s="33">
        <v>357.61999511718801</v>
      </c>
      <c r="G266" s="33">
        <v>81.839996337890597</v>
      </c>
      <c r="H266" s="33">
        <v>82.879997253417997</v>
      </c>
      <c r="I266" s="33">
        <v>408.89001464843801</v>
      </c>
      <c r="J266" s="33">
        <v>97.239997863769503</v>
      </c>
      <c r="L266" s="34">
        <f t="shared" si="30"/>
        <v>1.359806626580847E-3</v>
      </c>
      <c r="N266" s="34">
        <f t="shared" si="31"/>
        <v>-2.2694852229377949E-3</v>
      </c>
      <c r="O266" s="34">
        <f t="shared" si="32"/>
        <v>1.6275751329745791E-2</v>
      </c>
      <c r="P266" s="34">
        <f t="shared" si="33"/>
        <v>1.6770347640328476E-2</v>
      </c>
      <c r="Q266" s="34">
        <f t="shared" si="34"/>
        <v>8.5412936941244855E-3</v>
      </c>
      <c r="R266" s="34">
        <f t="shared" si="35"/>
        <v>9.5985373066682644E-3</v>
      </c>
      <c r="S266" s="34">
        <f t="shared" si="36"/>
        <v>-1.9528032334666046E-2</v>
      </c>
      <c r="T266" s="34">
        <f t="shared" si="37"/>
        <v>-3.0073380038482256E-3</v>
      </c>
      <c r="U266" s="34">
        <f t="shared" si="38"/>
        <v>-3.2442004867647256E-2</v>
      </c>
      <c r="V266" s="34">
        <f t="shared" si="39"/>
        <v>-4.1987061515892377E-3</v>
      </c>
    </row>
    <row r="267" spans="1:22" ht="15" customHeight="1" x14ac:dyDescent="0.2">
      <c r="A267" s="32">
        <v>46265</v>
      </c>
      <c r="B267" s="33">
        <v>767.04998779296898</v>
      </c>
      <c r="C267" s="33">
        <v>316.85000610351602</v>
      </c>
      <c r="D267" s="33">
        <v>507.29000854492199</v>
      </c>
      <c r="E267" s="33">
        <v>265.85000610351602</v>
      </c>
      <c r="F267" s="33">
        <v>356.01998901367199</v>
      </c>
      <c r="G267" s="33">
        <v>82.339996337890597</v>
      </c>
      <c r="H267" s="33">
        <v>82.519996643066406</v>
      </c>
      <c r="I267" s="33">
        <v>408.42001342773398</v>
      </c>
      <c r="J267" s="33">
        <v>96.440002441406307</v>
      </c>
      <c r="L267" s="34">
        <f t="shared" si="30"/>
        <v>-5.745163046174148E-3</v>
      </c>
      <c r="N267" s="34">
        <f t="shared" si="31"/>
        <v>-2.9895208500101411E-3</v>
      </c>
      <c r="O267" s="34">
        <f t="shared" si="32"/>
        <v>-8.9146261954766715E-3</v>
      </c>
      <c r="P267" s="34">
        <f t="shared" si="33"/>
        <v>-1.2151228547426562E-2</v>
      </c>
      <c r="Q267" s="34">
        <f t="shared" si="34"/>
        <v>-8.1704311729229318E-3</v>
      </c>
      <c r="R267" s="34">
        <f t="shared" si="35"/>
        <v>-4.4740398337954623E-3</v>
      </c>
      <c r="S267" s="34">
        <f t="shared" si="36"/>
        <v>6.1094821893157292E-3</v>
      </c>
      <c r="T267" s="34">
        <f t="shared" si="37"/>
        <v>-4.343636851855015E-3</v>
      </c>
      <c r="U267" s="34">
        <f t="shared" si="38"/>
        <v>-1.1494563424546689E-3</v>
      </c>
      <c r="V267" s="34">
        <f t="shared" si="39"/>
        <v>-8.2270201556767786E-3</v>
      </c>
    </row>
    <row r="268" spans="1:22" ht="15" customHeight="1" x14ac:dyDescent="0.2">
      <c r="A268" s="32">
        <v>46266</v>
      </c>
      <c r="B268" s="33">
        <v>761.780029296875</v>
      </c>
      <c r="C268" s="33">
        <v>325.13000488281301</v>
      </c>
      <c r="D268" s="33">
        <v>501.01998901367199</v>
      </c>
      <c r="E268" s="33">
        <v>271.19000244140602</v>
      </c>
      <c r="F268" s="33">
        <v>354.95001220703102</v>
      </c>
      <c r="G268" s="33">
        <v>82.930000305175795</v>
      </c>
      <c r="H268" s="33">
        <v>81.870002746582003</v>
      </c>
      <c r="I268" s="33">
        <v>396.75</v>
      </c>
      <c r="J268" s="33">
        <v>96.300003051757798</v>
      </c>
      <c r="L268" s="34">
        <f t="shared" si="30"/>
        <v>-2.9260052684864962E-4</v>
      </c>
      <c r="N268" s="34">
        <f t="shared" si="31"/>
        <v>-6.8704238054383415E-3</v>
      </c>
      <c r="O268" s="34">
        <f t="shared" si="32"/>
        <v>2.6132234873910365E-2</v>
      </c>
      <c r="P268" s="34">
        <f t="shared" si="33"/>
        <v>-1.2359832493516909E-2</v>
      </c>
      <c r="Q268" s="34">
        <f t="shared" si="34"/>
        <v>2.0086500715785993E-2</v>
      </c>
      <c r="R268" s="34">
        <f t="shared" si="35"/>
        <v>-3.0053840785885244E-3</v>
      </c>
      <c r="S268" s="34">
        <f t="shared" si="36"/>
        <v>7.1654602079900265E-3</v>
      </c>
      <c r="T268" s="34">
        <f t="shared" si="37"/>
        <v>-7.8768046888791909E-3</v>
      </c>
      <c r="U268" s="34">
        <f t="shared" si="38"/>
        <v>-2.8573559189206788E-2</v>
      </c>
      <c r="V268" s="34">
        <f t="shared" si="39"/>
        <v>-1.4516734353420269E-3</v>
      </c>
    </row>
    <row r="269" spans="1:22" ht="15" customHeight="1" x14ac:dyDescent="0.2">
      <c r="A269" s="32">
        <v>46267</v>
      </c>
      <c r="B269" s="33">
        <v>765.15997314453102</v>
      </c>
      <c r="C269" s="33">
        <v>324.95999145507801</v>
      </c>
      <c r="D269" s="33">
        <v>496.82000732421898</v>
      </c>
      <c r="E269" s="33">
        <v>275.20999145507801</v>
      </c>
      <c r="F269" s="33">
        <v>356.22000122070301</v>
      </c>
      <c r="G269" s="33">
        <v>83.099998474121094</v>
      </c>
      <c r="H269" s="33">
        <v>81.949996948242202</v>
      </c>
      <c r="I269" s="33">
        <v>402.77999877929699</v>
      </c>
      <c r="J269" s="33">
        <v>95.779998779296903</v>
      </c>
      <c r="L269" s="34">
        <f t="shared" si="30"/>
        <v>2.9377544723085442E-3</v>
      </c>
      <c r="N269" s="34">
        <f t="shared" si="31"/>
        <v>4.4369026722526073E-3</v>
      </c>
      <c r="O269" s="34">
        <f t="shared" si="32"/>
        <v>-5.2290906770136036E-4</v>
      </c>
      <c r="P269" s="34">
        <f t="shared" si="33"/>
        <v>-8.3828625235516929E-3</v>
      </c>
      <c r="Q269" s="34">
        <f t="shared" si="34"/>
        <v>1.4823514795832438E-2</v>
      </c>
      <c r="R269" s="34">
        <f t="shared" si="35"/>
        <v>3.5779376531792639E-3</v>
      </c>
      <c r="S269" s="34">
        <f t="shared" si="36"/>
        <v>2.049899533579147E-3</v>
      </c>
      <c r="T269" s="34">
        <f t="shared" si="37"/>
        <v>9.7708805394591813E-4</v>
      </c>
      <c r="U269" s="34">
        <f t="shared" si="38"/>
        <v>1.5198484635909226E-2</v>
      </c>
      <c r="V269" s="34">
        <f t="shared" si="39"/>
        <v>-5.3998365107155166E-3</v>
      </c>
    </row>
    <row r="270" spans="1:22" ht="15" customHeight="1" x14ac:dyDescent="0.2">
      <c r="A270" s="35"/>
      <c r="B270" s="18"/>
      <c r="C270" s="18"/>
      <c r="D270" s="18"/>
      <c r="E270" s="18"/>
      <c r="F270" s="18"/>
      <c r="G270" s="18"/>
      <c r="H270" s="18"/>
      <c r="I270" s="18"/>
      <c r="J270" s="18"/>
      <c r="L270" s="34" t="str">
        <f t="shared" si="30"/>
        <v/>
      </c>
      <c r="N270" s="34" t="str">
        <f t="shared" si="31"/>
        <v/>
      </c>
      <c r="O270" s="34" t="str">
        <f t="shared" si="32"/>
        <v/>
      </c>
      <c r="P270" s="34" t="str">
        <f t="shared" si="33"/>
        <v/>
      </c>
      <c r="Q270" s="34" t="str">
        <f t="shared" si="34"/>
        <v/>
      </c>
      <c r="R270" s="34" t="str">
        <f t="shared" si="35"/>
        <v/>
      </c>
      <c r="S270" s="34" t="str">
        <f t="shared" si="36"/>
        <v/>
      </c>
      <c r="T270" s="34" t="str">
        <f t="shared" si="37"/>
        <v/>
      </c>
      <c r="U270" s="34" t="str">
        <f t="shared" si="38"/>
        <v/>
      </c>
      <c r="V270" s="34" t="str">
        <f t="shared" si="39"/>
        <v/>
      </c>
    </row>
    <row r="271" spans="1:22" ht="15" customHeight="1" x14ac:dyDescent="0.2">
      <c r="A271" s="35"/>
      <c r="B271" s="18"/>
      <c r="C271" s="18"/>
      <c r="D271" s="18"/>
      <c r="E271" s="18"/>
      <c r="F271" s="18"/>
      <c r="G271" s="18"/>
      <c r="H271" s="18"/>
      <c r="I271" s="18"/>
      <c r="J271" s="18"/>
      <c r="L271" s="34" t="str">
        <f t="shared" si="30"/>
        <v/>
      </c>
      <c r="N271" s="34" t="str">
        <f t="shared" si="31"/>
        <v/>
      </c>
      <c r="O271" s="34" t="str">
        <f t="shared" si="32"/>
        <v/>
      </c>
      <c r="P271" s="34" t="str">
        <f t="shared" si="33"/>
        <v/>
      </c>
      <c r="Q271" s="34" t="str">
        <f t="shared" si="34"/>
        <v/>
      </c>
      <c r="R271" s="34" t="str">
        <f t="shared" si="35"/>
        <v/>
      </c>
      <c r="S271" s="34" t="str">
        <f t="shared" si="36"/>
        <v/>
      </c>
      <c r="T271" s="34" t="str">
        <f t="shared" si="37"/>
        <v/>
      </c>
      <c r="U271" s="34" t="str">
        <f t="shared" si="38"/>
        <v/>
      </c>
      <c r="V271" s="34" t="str">
        <f t="shared" si="39"/>
        <v/>
      </c>
    </row>
    <row r="272" spans="1:22" ht="15" customHeight="1" x14ac:dyDescent="0.2">
      <c r="A272" s="35"/>
      <c r="B272" s="18"/>
      <c r="C272" s="18"/>
      <c r="D272" s="18"/>
      <c r="E272" s="18"/>
      <c r="F272" s="18"/>
      <c r="G272" s="18"/>
      <c r="H272" s="18"/>
      <c r="I272" s="18"/>
      <c r="J272" s="18"/>
      <c r="L272" s="34" t="str">
        <f t="shared" si="30"/>
        <v/>
      </c>
      <c r="N272" s="34" t="str">
        <f t="shared" si="31"/>
        <v/>
      </c>
      <c r="O272" s="34" t="str">
        <f t="shared" si="32"/>
        <v/>
      </c>
      <c r="P272" s="34" t="str">
        <f t="shared" si="33"/>
        <v/>
      </c>
      <c r="Q272" s="34" t="str">
        <f t="shared" si="34"/>
        <v/>
      </c>
      <c r="R272" s="34" t="str">
        <f t="shared" si="35"/>
        <v/>
      </c>
      <c r="S272" s="34" t="str">
        <f t="shared" si="36"/>
        <v/>
      </c>
      <c r="T272" s="34" t="str">
        <f t="shared" si="37"/>
        <v/>
      </c>
      <c r="U272" s="34" t="str">
        <f t="shared" si="38"/>
        <v/>
      </c>
      <c r="V272" s="34" t="str">
        <f t="shared" si="39"/>
        <v/>
      </c>
    </row>
    <row r="273" spans="1:22" ht="15" customHeight="1" x14ac:dyDescent="0.2">
      <c r="A273" s="35"/>
      <c r="B273" s="18"/>
      <c r="C273" s="18"/>
      <c r="D273" s="18"/>
      <c r="E273" s="18"/>
      <c r="F273" s="18"/>
      <c r="G273" s="18"/>
      <c r="H273" s="18"/>
      <c r="I273" s="18"/>
      <c r="J273" s="18"/>
      <c r="L273" s="34" t="str">
        <f t="shared" si="30"/>
        <v/>
      </c>
      <c r="N273" s="34" t="str">
        <f t="shared" si="31"/>
        <v/>
      </c>
      <c r="O273" s="34" t="str">
        <f t="shared" si="32"/>
        <v/>
      </c>
      <c r="P273" s="34" t="str">
        <f t="shared" si="33"/>
        <v/>
      </c>
      <c r="Q273" s="34" t="str">
        <f t="shared" si="34"/>
        <v/>
      </c>
      <c r="R273" s="34" t="str">
        <f t="shared" si="35"/>
        <v/>
      </c>
      <c r="S273" s="34" t="str">
        <f t="shared" si="36"/>
        <v/>
      </c>
      <c r="T273" s="34" t="str">
        <f t="shared" si="37"/>
        <v/>
      </c>
      <c r="U273" s="34" t="str">
        <f t="shared" si="38"/>
        <v/>
      </c>
      <c r="V273" s="34" t="str">
        <f t="shared" si="39"/>
        <v/>
      </c>
    </row>
    <row r="274" spans="1:22" ht="15" customHeight="1" x14ac:dyDescent="0.2">
      <c r="A274" s="35"/>
      <c r="B274" s="18"/>
      <c r="C274" s="18"/>
      <c r="D274" s="18"/>
      <c r="E274" s="18"/>
      <c r="F274" s="18"/>
      <c r="G274" s="18"/>
      <c r="H274" s="18"/>
      <c r="I274" s="18"/>
      <c r="J274" s="18"/>
      <c r="L274" s="34" t="str">
        <f t="shared" si="30"/>
        <v/>
      </c>
      <c r="N274" s="34" t="str">
        <f t="shared" si="31"/>
        <v/>
      </c>
      <c r="O274" s="34" t="str">
        <f t="shared" si="32"/>
        <v/>
      </c>
      <c r="P274" s="34" t="str">
        <f t="shared" si="33"/>
        <v/>
      </c>
      <c r="Q274" s="34" t="str">
        <f t="shared" si="34"/>
        <v/>
      </c>
      <c r="R274" s="34" t="str">
        <f t="shared" si="35"/>
        <v/>
      </c>
      <c r="S274" s="34" t="str">
        <f t="shared" si="36"/>
        <v/>
      </c>
      <c r="T274" s="34" t="str">
        <f t="shared" si="37"/>
        <v/>
      </c>
      <c r="U274" s="34" t="str">
        <f t="shared" si="38"/>
        <v/>
      </c>
      <c r="V274" s="34" t="str">
        <f t="shared" si="39"/>
        <v/>
      </c>
    </row>
    <row r="275" spans="1:22" ht="15" customHeight="1" x14ac:dyDescent="0.2">
      <c r="A275" s="35"/>
      <c r="B275" s="18"/>
      <c r="C275" s="18"/>
      <c r="D275" s="18"/>
      <c r="E275" s="18"/>
      <c r="F275" s="18"/>
      <c r="G275" s="18"/>
      <c r="H275" s="18"/>
      <c r="I275" s="18"/>
      <c r="J275" s="18"/>
      <c r="L275" s="34" t="str">
        <f t="shared" ref="L275:L287" si="40">IF(COUNT(N275:V275)&lt;9,"",SUMPRODUCT($B$12:$J$12,N275:V275))</f>
        <v/>
      </c>
      <c r="N275" s="34" t="str">
        <f t="shared" ref="N275:N287" si="41">IF(OR(B275="",B274="",B274=0),"",B275/B274-1)</f>
        <v/>
      </c>
      <c r="O275" s="34" t="str">
        <f t="shared" ref="O275:O287" si="42">IF(OR(C275="",C274="",C274=0),"",C275/C274-1)</f>
        <v/>
      </c>
      <c r="P275" s="34" t="str">
        <f t="shared" ref="P275:P287" si="43">IF(OR(D275="",D274="",D274=0),"",D275/D274-1)</f>
        <v/>
      </c>
      <c r="Q275" s="34" t="str">
        <f t="shared" ref="Q275:Q287" si="44">IF(OR(E275="",E274="",E274=0),"",E275/E274-1)</f>
        <v/>
      </c>
      <c r="R275" s="34" t="str">
        <f t="shared" ref="R275:R287" si="45">IF(OR(F275="",F274="",F274=0),"",F275/F274-1)</f>
        <v/>
      </c>
      <c r="S275" s="34" t="str">
        <f t="shared" ref="S275:S287" si="46">IF(OR(G275="",G274="",G274=0),"",G275/G274-1)</f>
        <v/>
      </c>
      <c r="T275" s="34" t="str">
        <f t="shared" ref="T275:T287" si="47">IF(OR(H275="",H274="",H274=0),"",H275/H274-1)</f>
        <v/>
      </c>
      <c r="U275" s="34" t="str">
        <f t="shared" ref="U275:U287" si="48">IF(OR(I275="",I274="",I274=0),"",I275/I274-1)</f>
        <v/>
      </c>
      <c r="V275" s="34" t="str">
        <f t="shared" ref="V275:V287" si="49">IF(OR(J275="",J274="",J274=0),"",J275/J274-1)</f>
        <v/>
      </c>
    </row>
    <row r="276" spans="1:22" ht="15" customHeight="1" x14ac:dyDescent="0.2">
      <c r="A276" s="35"/>
      <c r="B276" s="18"/>
      <c r="C276" s="18"/>
      <c r="D276" s="18"/>
      <c r="E276" s="18"/>
      <c r="F276" s="18"/>
      <c r="G276" s="18"/>
      <c r="H276" s="18"/>
      <c r="I276" s="18"/>
      <c r="J276" s="18"/>
      <c r="L276" s="34" t="str">
        <f t="shared" si="40"/>
        <v/>
      </c>
      <c r="N276" s="34" t="str">
        <f t="shared" si="41"/>
        <v/>
      </c>
      <c r="O276" s="34" t="str">
        <f t="shared" si="42"/>
        <v/>
      </c>
      <c r="P276" s="34" t="str">
        <f t="shared" si="43"/>
        <v/>
      </c>
      <c r="Q276" s="34" t="str">
        <f t="shared" si="44"/>
        <v/>
      </c>
      <c r="R276" s="34" t="str">
        <f t="shared" si="45"/>
        <v/>
      </c>
      <c r="S276" s="34" t="str">
        <f t="shared" si="46"/>
        <v/>
      </c>
      <c r="T276" s="34" t="str">
        <f t="shared" si="47"/>
        <v/>
      </c>
      <c r="U276" s="34" t="str">
        <f t="shared" si="48"/>
        <v/>
      </c>
      <c r="V276" s="34" t="str">
        <f t="shared" si="49"/>
        <v/>
      </c>
    </row>
    <row r="277" spans="1:22" ht="15" customHeight="1" x14ac:dyDescent="0.2">
      <c r="A277" s="35"/>
      <c r="B277" s="18"/>
      <c r="C277" s="18"/>
      <c r="D277" s="18"/>
      <c r="E277" s="18"/>
      <c r="F277" s="18"/>
      <c r="G277" s="18"/>
      <c r="H277" s="18"/>
      <c r="I277" s="18"/>
      <c r="J277" s="18"/>
      <c r="L277" s="34" t="str">
        <f t="shared" si="40"/>
        <v/>
      </c>
      <c r="N277" s="34" t="str">
        <f t="shared" si="41"/>
        <v/>
      </c>
      <c r="O277" s="34" t="str">
        <f t="shared" si="42"/>
        <v/>
      </c>
      <c r="P277" s="34" t="str">
        <f t="shared" si="43"/>
        <v/>
      </c>
      <c r="Q277" s="34" t="str">
        <f t="shared" si="44"/>
        <v/>
      </c>
      <c r="R277" s="34" t="str">
        <f t="shared" si="45"/>
        <v/>
      </c>
      <c r="S277" s="34" t="str">
        <f t="shared" si="46"/>
        <v/>
      </c>
      <c r="T277" s="34" t="str">
        <f t="shared" si="47"/>
        <v/>
      </c>
      <c r="U277" s="34" t="str">
        <f t="shared" si="48"/>
        <v/>
      </c>
      <c r="V277" s="34" t="str">
        <f t="shared" si="49"/>
        <v/>
      </c>
    </row>
    <row r="278" spans="1:22" ht="15" customHeight="1" x14ac:dyDescent="0.2">
      <c r="A278" s="35"/>
      <c r="B278" s="18"/>
      <c r="C278" s="18"/>
      <c r="D278" s="18"/>
      <c r="E278" s="18"/>
      <c r="F278" s="18"/>
      <c r="G278" s="18"/>
      <c r="H278" s="18"/>
      <c r="I278" s="18"/>
      <c r="J278" s="18"/>
      <c r="L278" s="34" t="str">
        <f t="shared" si="40"/>
        <v/>
      </c>
      <c r="N278" s="34" t="str">
        <f t="shared" si="41"/>
        <v/>
      </c>
      <c r="O278" s="34" t="str">
        <f t="shared" si="42"/>
        <v/>
      </c>
      <c r="P278" s="34" t="str">
        <f t="shared" si="43"/>
        <v/>
      </c>
      <c r="Q278" s="34" t="str">
        <f t="shared" si="44"/>
        <v/>
      </c>
      <c r="R278" s="34" t="str">
        <f t="shared" si="45"/>
        <v/>
      </c>
      <c r="S278" s="34" t="str">
        <f t="shared" si="46"/>
        <v/>
      </c>
      <c r="T278" s="34" t="str">
        <f t="shared" si="47"/>
        <v/>
      </c>
      <c r="U278" s="34" t="str">
        <f t="shared" si="48"/>
        <v/>
      </c>
      <c r="V278" s="34" t="str">
        <f t="shared" si="49"/>
        <v/>
      </c>
    </row>
    <row r="279" spans="1:22" ht="15" customHeight="1" x14ac:dyDescent="0.2">
      <c r="A279" s="35"/>
      <c r="B279" s="18"/>
      <c r="C279" s="18"/>
      <c r="D279" s="18"/>
      <c r="E279" s="18"/>
      <c r="F279" s="18"/>
      <c r="G279" s="18"/>
      <c r="H279" s="18"/>
      <c r="I279" s="18"/>
      <c r="J279" s="18"/>
      <c r="L279" s="34" t="str">
        <f t="shared" si="40"/>
        <v/>
      </c>
      <c r="N279" s="34" t="str">
        <f t="shared" si="41"/>
        <v/>
      </c>
      <c r="O279" s="34" t="str">
        <f t="shared" si="42"/>
        <v/>
      </c>
      <c r="P279" s="34" t="str">
        <f t="shared" si="43"/>
        <v/>
      </c>
      <c r="Q279" s="34" t="str">
        <f t="shared" si="44"/>
        <v/>
      </c>
      <c r="R279" s="34" t="str">
        <f t="shared" si="45"/>
        <v/>
      </c>
      <c r="S279" s="34" t="str">
        <f t="shared" si="46"/>
        <v/>
      </c>
      <c r="T279" s="34" t="str">
        <f t="shared" si="47"/>
        <v/>
      </c>
      <c r="U279" s="34" t="str">
        <f t="shared" si="48"/>
        <v/>
      </c>
      <c r="V279" s="34" t="str">
        <f t="shared" si="49"/>
        <v/>
      </c>
    </row>
    <row r="280" spans="1:22" ht="15" customHeight="1" x14ac:dyDescent="0.2">
      <c r="A280" s="35"/>
      <c r="B280" s="18"/>
      <c r="C280" s="18"/>
      <c r="D280" s="18"/>
      <c r="E280" s="18"/>
      <c r="F280" s="18"/>
      <c r="G280" s="18"/>
      <c r="H280" s="18"/>
      <c r="I280" s="18"/>
      <c r="J280" s="18"/>
      <c r="L280" s="34" t="str">
        <f t="shared" si="40"/>
        <v/>
      </c>
      <c r="N280" s="34" t="str">
        <f t="shared" si="41"/>
        <v/>
      </c>
      <c r="O280" s="34" t="str">
        <f t="shared" si="42"/>
        <v/>
      </c>
      <c r="P280" s="34" t="str">
        <f t="shared" si="43"/>
        <v/>
      </c>
      <c r="Q280" s="34" t="str">
        <f t="shared" si="44"/>
        <v/>
      </c>
      <c r="R280" s="34" t="str">
        <f t="shared" si="45"/>
        <v/>
      </c>
      <c r="S280" s="34" t="str">
        <f t="shared" si="46"/>
        <v/>
      </c>
      <c r="T280" s="34" t="str">
        <f t="shared" si="47"/>
        <v/>
      </c>
      <c r="U280" s="34" t="str">
        <f t="shared" si="48"/>
        <v/>
      </c>
      <c r="V280" s="34" t="str">
        <f t="shared" si="49"/>
        <v/>
      </c>
    </row>
    <row r="281" spans="1:22" ht="15" customHeight="1" x14ac:dyDescent="0.2">
      <c r="A281" s="35"/>
      <c r="B281" s="18"/>
      <c r="C281" s="18"/>
      <c r="D281" s="18"/>
      <c r="E281" s="18"/>
      <c r="F281" s="18"/>
      <c r="G281" s="18"/>
      <c r="H281" s="18"/>
      <c r="I281" s="18"/>
      <c r="J281" s="18"/>
      <c r="L281" s="34" t="str">
        <f t="shared" si="40"/>
        <v/>
      </c>
      <c r="N281" s="34" t="str">
        <f t="shared" si="41"/>
        <v/>
      </c>
      <c r="O281" s="34" t="str">
        <f t="shared" si="42"/>
        <v/>
      </c>
      <c r="P281" s="34" t="str">
        <f t="shared" si="43"/>
        <v/>
      </c>
      <c r="Q281" s="34" t="str">
        <f t="shared" si="44"/>
        <v/>
      </c>
      <c r="R281" s="34" t="str">
        <f t="shared" si="45"/>
        <v/>
      </c>
      <c r="S281" s="34" t="str">
        <f t="shared" si="46"/>
        <v/>
      </c>
      <c r="T281" s="34" t="str">
        <f t="shared" si="47"/>
        <v/>
      </c>
      <c r="U281" s="34" t="str">
        <f t="shared" si="48"/>
        <v/>
      </c>
      <c r="V281" s="34" t="str">
        <f t="shared" si="49"/>
        <v/>
      </c>
    </row>
    <row r="282" spans="1:22" ht="15" customHeight="1" x14ac:dyDescent="0.2">
      <c r="A282" s="35"/>
      <c r="B282" s="18"/>
      <c r="C282" s="18"/>
      <c r="D282" s="18"/>
      <c r="E282" s="18"/>
      <c r="F282" s="18"/>
      <c r="G282" s="18"/>
      <c r="H282" s="18"/>
      <c r="I282" s="18"/>
      <c r="J282" s="18"/>
      <c r="L282" s="34" t="str">
        <f t="shared" si="40"/>
        <v/>
      </c>
      <c r="N282" s="34" t="str">
        <f t="shared" si="41"/>
        <v/>
      </c>
      <c r="O282" s="34" t="str">
        <f t="shared" si="42"/>
        <v/>
      </c>
      <c r="P282" s="34" t="str">
        <f t="shared" si="43"/>
        <v/>
      </c>
      <c r="Q282" s="34" t="str">
        <f t="shared" si="44"/>
        <v/>
      </c>
      <c r="R282" s="34" t="str">
        <f t="shared" si="45"/>
        <v/>
      </c>
      <c r="S282" s="34" t="str">
        <f t="shared" si="46"/>
        <v/>
      </c>
      <c r="T282" s="34" t="str">
        <f t="shared" si="47"/>
        <v/>
      </c>
      <c r="U282" s="34" t="str">
        <f t="shared" si="48"/>
        <v/>
      </c>
      <c r="V282" s="34" t="str">
        <f t="shared" si="49"/>
        <v/>
      </c>
    </row>
    <row r="283" spans="1:22" ht="15" customHeight="1" x14ac:dyDescent="0.2">
      <c r="A283" s="35"/>
      <c r="B283" s="18"/>
      <c r="C283" s="18"/>
      <c r="D283" s="18"/>
      <c r="E283" s="18"/>
      <c r="F283" s="18"/>
      <c r="G283" s="18"/>
      <c r="H283" s="18"/>
      <c r="I283" s="18"/>
      <c r="J283" s="18"/>
      <c r="L283" s="34" t="str">
        <f t="shared" si="40"/>
        <v/>
      </c>
      <c r="N283" s="34" t="str">
        <f t="shared" si="41"/>
        <v/>
      </c>
      <c r="O283" s="34" t="str">
        <f t="shared" si="42"/>
        <v/>
      </c>
      <c r="P283" s="34" t="str">
        <f t="shared" si="43"/>
        <v/>
      </c>
      <c r="Q283" s="34" t="str">
        <f t="shared" si="44"/>
        <v/>
      </c>
      <c r="R283" s="34" t="str">
        <f t="shared" si="45"/>
        <v/>
      </c>
      <c r="S283" s="34" t="str">
        <f t="shared" si="46"/>
        <v/>
      </c>
      <c r="T283" s="34" t="str">
        <f t="shared" si="47"/>
        <v/>
      </c>
      <c r="U283" s="34" t="str">
        <f t="shared" si="48"/>
        <v/>
      </c>
      <c r="V283" s="34" t="str">
        <f t="shared" si="49"/>
        <v/>
      </c>
    </row>
    <row r="284" spans="1:22" ht="15" customHeight="1" x14ac:dyDescent="0.2">
      <c r="A284" s="35"/>
      <c r="B284" s="18"/>
      <c r="C284" s="18"/>
      <c r="D284" s="18"/>
      <c r="E284" s="18"/>
      <c r="F284" s="18"/>
      <c r="G284" s="18"/>
      <c r="H284" s="18"/>
      <c r="I284" s="18"/>
      <c r="J284" s="18"/>
      <c r="L284" s="34" t="str">
        <f t="shared" si="40"/>
        <v/>
      </c>
      <c r="N284" s="34" t="str">
        <f t="shared" si="41"/>
        <v/>
      </c>
      <c r="O284" s="34" t="str">
        <f t="shared" si="42"/>
        <v/>
      </c>
      <c r="P284" s="34" t="str">
        <f t="shared" si="43"/>
        <v/>
      </c>
      <c r="Q284" s="34" t="str">
        <f t="shared" si="44"/>
        <v/>
      </c>
      <c r="R284" s="34" t="str">
        <f t="shared" si="45"/>
        <v/>
      </c>
      <c r="S284" s="34" t="str">
        <f t="shared" si="46"/>
        <v/>
      </c>
      <c r="T284" s="34" t="str">
        <f t="shared" si="47"/>
        <v/>
      </c>
      <c r="U284" s="34" t="str">
        <f t="shared" si="48"/>
        <v/>
      </c>
      <c r="V284" s="34" t="str">
        <f t="shared" si="49"/>
        <v/>
      </c>
    </row>
    <row r="285" spans="1:22" ht="15" customHeight="1" x14ac:dyDescent="0.2">
      <c r="A285" s="35"/>
      <c r="B285" s="18"/>
      <c r="C285" s="18"/>
      <c r="D285" s="18"/>
      <c r="E285" s="18"/>
      <c r="F285" s="18"/>
      <c r="G285" s="18"/>
      <c r="H285" s="18"/>
      <c r="I285" s="18"/>
      <c r="J285" s="18"/>
      <c r="L285" s="34" t="str">
        <f t="shared" si="40"/>
        <v/>
      </c>
      <c r="N285" s="34" t="str">
        <f t="shared" si="41"/>
        <v/>
      </c>
      <c r="O285" s="34" t="str">
        <f t="shared" si="42"/>
        <v/>
      </c>
      <c r="P285" s="34" t="str">
        <f t="shared" si="43"/>
        <v/>
      </c>
      <c r="Q285" s="34" t="str">
        <f t="shared" si="44"/>
        <v/>
      </c>
      <c r="R285" s="34" t="str">
        <f t="shared" si="45"/>
        <v/>
      </c>
      <c r="S285" s="34" t="str">
        <f t="shared" si="46"/>
        <v/>
      </c>
      <c r="T285" s="34" t="str">
        <f t="shared" si="47"/>
        <v/>
      </c>
      <c r="U285" s="34" t="str">
        <f t="shared" si="48"/>
        <v/>
      </c>
      <c r="V285" s="34" t="str">
        <f t="shared" si="49"/>
        <v/>
      </c>
    </row>
    <row r="286" spans="1:22" ht="15" customHeight="1" x14ac:dyDescent="0.2">
      <c r="A286" s="35"/>
      <c r="B286" s="18"/>
      <c r="C286" s="18"/>
      <c r="D286" s="18"/>
      <c r="E286" s="18"/>
      <c r="F286" s="18"/>
      <c r="G286" s="18"/>
      <c r="H286" s="18"/>
      <c r="I286" s="18"/>
      <c r="J286" s="18"/>
      <c r="L286" s="34" t="str">
        <f t="shared" si="40"/>
        <v/>
      </c>
      <c r="N286" s="34" t="str">
        <f t="shared" si="41"/>
        <v/>
      </c>
      <c r="O286" s="34" t="str">
        <f t="shared" si="42"/>
        <v/>
      </c>
      <c r="P286" s="34" t="str">
        <f t="shared" si="43"/>
        <v/>
      </c>
      <c r="Q286" s="34" t="str">
        <f t="shared" si="44"/>
        <v/>
      </c>
      <c r="R286" s="34" t="str">
        <f t="shared" si="45"/>
        <v/>
      </c>
      <c r="S286" s="34" t="str">
        <f t="shared" si="46"/>
        <v/>
      </c>
      <c r="T286" s="34" t="str">
        <f t="shared" si="47"/>
        <v/>
      </c>
      <c r="U286" s="34" t="str">
        <f t="shared" si="48"/>
        <v/>
      </c>
      <c r="V286" s="34" t="str">
        <f t="shared" si="49"/>
        <v/>
      </c>
    </row>
    <row r="287" spans="1:22" ht="15" customHeight="1" x14ac:dyDescent="0.2">
      <c r="A287" s="35"/>
      <c r="B287" s="18"/>
      <c r="C287" s="18"/>
      <c r="D287" s="18"/>
      <c r="E287" s="18"/>
      <c r="F287" s="18"/>
      <c r="G287" s="18"/>
      <c r="H287" s="18"/>
      <c r="I287" s="18"/>
      <c r="J287" s="18"/>
      <c r="L287" s="34" t="str">
        <f t="shared" si="40"/>
        <v/>
      </c>
      <c r="N287" s="34" t="str">
        <f t="shared" si="41"/>
        <v/>
      </c>
      <c r="O287" s="34" t="str">
        <f t="shared" si="42"/>
        <v/>
      </c>
      <c r="P287" s="34" t="str">
        <f t="shared" si="43"/>
        <v/>
      </c>
      <c r="Q287" s="34" t="str">
        <f t="shared" si="44"/>
        <v/>
      </c>
      <c r="R287" s="34" t="str">
        <f t="shared" si="45"/>
        <v/>
      </c>
      <c r="S287" s="34" t="str">
        <f t="shared" si="46"/>
        <v/>
      </c>
      <c r="T287" s="34" t="str">
        <f t="shared" si="47"/>
        <v/>
      </c>
      <c r="U287" s="34" t="str">
        <f t="shared" si="48"/>
        <v/>
      </c>
      <c r="V287" s="34" t="str">
        <f t="shared" si="49"/>
        <v/>
      </c>
    </row>
    <row r="289" spans="1:10" ht="18" customHeight="1" x14ac:dyDescent="0.2">
      <c r="A289" s="1" t="s">
        <v>224</v>
      </c>
    </row>
    <row r="290" spans="1:10" ht="15" customHeight="1" x14ac:dyDescent="0.2">
      <c r="A290" s="5" t="s">
        <v>225</v>
      </c>
      <c r="B290" s="36">
        <f>COUNT(L18:L287)</f>
        <v>251</v>
      </c>
    </row>
    <row r="291" spans="1:10" ht="15" customHeight="1" x14ac:dyDescent="0.2">
      <c r="A291" s="5" t="s">
        <v>226</v>
      </c>
      <c r="B291" s="37">
        <f>IF(COUNT(L18:L287)&lt;2,"",STDEV(L18:L287))</f>
        <v>6.484358418421308E-3</v>
      </c>
    </row>
    <row r="292" spans="1:10" ht="15" customHeight="1" x14ac:dyDescent="0.2">
      <c r="A292" s="5" t="s">
        <v>227</v>
      </c>
      <c r="B292" s="37">
        <f>IF(COUNT(L18:L287)&lt;2,"",STDEVP(L18:L287))</f>
        <v>6.4714284785000846E-3</v>
      </c>
    </row>
    <row r="293" spans="1:10" ht="15" customHeight="1" x14ac:dyDescent="0.2">
      <c r="A293" s="4" t="s">
        <v>228</v>
      </c>
      <c r="B293" s="38">
        <f>IF(B291="","",B291*SQRT($B$6))</f>
        <v>0.10293599872170535</v>
      </c>
    </row>
    <row r="294" spans="1:10" ht="15" customHeight="1" x14ac:dyDescent="0.2">
      <c r="A294" s="5" t="s">
        <v>229</v>
      </c>
      <c r="B294" s="19">
        <f>IF(B292="","",B292*SQRT($B$6))</f>
        <v>0.10273074228871397</v>
      </c>
    </row>
    <row r="296" spans="1:10" ht="15" customHeight="1" x14ac:dyDescent="0.2">
      <c r="A296" s="3" t="s">
        <v>230</v>
      </c>
    </row>
    <row r="297" spans="1:10" ht="15" customHeight="1" x14ac:dyDescent="0.2">
      <c r="A297" s="4" t="s">
        <v>231</v>
      </c>
    </row>
    <row r="298" spans="1:10" ht="15" customHeight="1" x14ac:dyDescent="0.2">
      <c r="A298" s="8" t="s">
        <v>135</v>
      </c>
      <c r="B298" s="8" t="s">
        <v>148</v>
      </c>
      <c r="C298" s="8" t="s">
        <v>151</v>
      </c>
      <c r="D298" s="8" t="s">
        <v>154</v>
      </c>
      <c r="E298" s="8" t="s">
        <v>156</v>
      </c>
      <c r="F298" s="8" t="s">
        <v>159</v>
      </c>
      <c r="G298" s="8" t="s">
        <v>162</v>
      </c>
      <c r="H298" s="8" t="s">
        <v>165</v>
      </c>
      <c r="I298" s="8" t="s">
        <v>168</v>
      </c>
      <c r="J298" s="8" t="s">
        <v>171</v>
      </c>
    </row>
    <row r="299" spans="1:10" ht="15" customHeight="1" x14ac:dyDescent="0.2">
      <c r="A299" s="9" t="s">
        <v>232</v>
      </c>
      <c r="B299" s="19">
        <f t="shared" ref="B299:J299" si="50">IF(COUNT(N18:N287)&lt;2,"",STDEV(N18:N287)*SQRT($B$6))</f>
        <v>0.12786361141308031</v>
      </c>
      <c r="C299" s="19">
        <f t="shared" si="50"/>
        <v>0.24946395340800195</v>
      </c>
      <c r="D299" s="19">
        <f t="shared" si="50"/>
        <v>0.32407313599033466</v>
      </c>
      <c r="E299" s="19">
        <f t="shared" si="50"/>
        <v>0.19005673847898874</v>
      </c>
      <c r="F299" s="19">
        <f t="shared" si="50"/>
        <v>0.22289286441460363</v>
      </c>
      <c r="G299" s="19">
        <f t="shared" si="50"/>
        <v>0.21353032712094161</v>
      </c>
      <c r="H299" s="19">
        <f t="shared" si="50"/>
        <v>9.5732050019037548E-2</v>
      </c>
      <c r="I299" s="19">
        <f t="shared" si="50"/>
        <v>0.29152959398766665</v>
      </c>
      <c r="J299" s="19">
        <f t="shared" si="50"/>
        <v>0.13843697195211332</v>
      </c>
    </row>
    <row r="301" spans="1:10" ht="15" customHeight="1" x14ac:dyDescent="0.2">
      <c r="A301" s="4" t="s">
        <v>233</v>
      </c>
      <c r="B301" s="19">
        <f>IF(B299="","",SUMPRODUCT($B$12:$J$12,B299:J299))</f>
        <v>0.20540805872739629</v>
      </c>
    </row>
    <row r="302" spans="1:10" ht="15" customHeight="1" x14ac:dyDescent="0.2">
      <c r="A302" s="4" t="s">
        <v>234</v>
      </c>
      <c r="B302" s="4" t="str">
        <f>IF(OR(B293="",B301=""),"(incomplete)",IF(B293&lt;B301,"OK — diversification","CHECK — something is wrong"))</f>
        <v>OK — diversification</v>
      </c>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showGridLines="0" topLeftCell="A5" zoomScaleNormal="100" workbookViewId="0">
      <selection activeCell="C14" sqref="C14"/>
    </sheetView>
  </sheetViews>
  <sheetFormatPr baseColWidth="10" defaultColWidth="8.6640625" defaultRowHeight="15" x14ac:dyDescent="0.2"/>
  <cols>
    <col min="1" max="1" width="30" customWidth="1"/>
    <col min="2" max="2" width="34" customWidth="1"/>
    <col min="3" max="3" width="80" customWidth="1"/>
  </cols>
  <sheetData>
    <row r="1" spans="1:3" ht="18" customHeight="1" x14ac:dyDescent="0.2">
      <c r="A1" s="1" t="s">
        <v>235</v>
      </c>
    </row>
    <row r="2" spans="1:3" ht="15" customHeight="1" x14ac:dyDescent="0.2">
      <c r="A2" s="2" t="s">
        <v>236</v>
      </c>
    </row>
    <row r="4" spans="1:3" ht="15" customHeight="1" x14ac:dyDescent="0.2">
      <c r="A4" s="8" t="s">
        <v>237</v>
      </c>
      <c r="B4" s="8" t="s">
        <v>238</v>
      </c>
      <c r="C4" s="8" t="s">
        <v>239</v>
      </c>
    </row>
    <row r="5" spans="1:3" ht="79.5" customHeight="1" x14ac:dyDescent="0.2">
      <c r="A5" s="9" t="s">
        <v>240</v>
      </c>
      <c r="B5" s="10" t="s">
        <v>241</v>
      </c>
      <c r="C5" s="11" t="s">
        <v>242</v>
      </c>
    </row>
    <row r="6" spans="1:3" ht="79.5" customHeight="1" x14ac:dyDescent="0.2">
      <c r="A6" s="9" t="s">
        <v>243</v>
      </c>
      <c r="B6" s="10" t="s">
        <v>244</v>
      </c>
      <c r="C6" s="11" t="s">
        <v>245</v>
      </c>
    </row>
    <row r="7" spans="1:3" ht="79.5" customHeight="1" x14ac:dyDescent="0.2">
      <c r="A7" s="9" t="s">
        <v>246</v>
      </c>
      <c r="B7" s="10" t="s">
        <v>247</v>
      </c>
      <c r="C7" s="11" t="s">
        <v>248</v>
      </c>
    </row>
    <row r="8" spans="1:3" ht="79.5" customHeight="1" x14ac:dyDescent="0.2">
      <c r="A8" s="9" t="s">
        <v>249</v>
      </c>
      <c r="B8" s="10" t="s">
        <v>250</v>
      </c>
      <c r="C8" s="11" t="s">
        <v>251</v>
      </c>
    </row>
    <row r="10" spans="1:3" ht="18" customHeight="1" x14ac:dyDescent="0.2">
      <c r="A10" s="1" t="s">
        <v>252</v>
      </c>
    </row>
    <row r="11" spans="1:3" ht="45.75" customHeight="1" x14ac:dyDescent="0.2">
      <c r="A11" s="4" t="s">
        <v>253</v>
      </c>
      <c r="C11" s="39" t="s">
        <v>254</v>
      </c>
    </row>
    <row r="12" spans="1:3" ht="45.75" customHeight="1" x14ac:dyDescent="0.2">
      <c r="A12" s="4" t="s">
        <v>255</v>
      </c>
      <c r="C12" s="39" t="s">
        <v>256</v>
      </c>
    </row>
    <row r="13" spans="1:3" ht="45.75" customHeight="1" x14ac:dyDescent="0.2">
      <c r="A13" s="4" t="s">
        <v>257</v>
      </c>
      <c r="C13" s="39" t="s">
        <v>258</v>
      </c>
    </row>
    <row r="14" spans="1:3" ht="45.75" customHeight="1" x14ac:dyDescent="0.2">
      <c r="A14" s="4" t="s">
        <v>259</v>
      </c>
      <c r="C14" s="39" t="s">
        <v>260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1"/>
  <sheetViews>
    <sheetView topLeftCell="A16" zoomScaleNormal="100" workbookViewId="0">
      <selection activeCell="G29" sqref="G29"/>
    </sheetView>
  </sheetViews>
  <sheetFormatPr baseColWidth="10" defaultColWidth="8.6640625" defaultRowHeight="15" x14ac:dyDescent="0.2"/>
  <cols>
    <col min="1" max="1" width="22" customWidth="1"/>
    <col min="2" max="2" width="30" customWidth="1"/>
    <col min="3" max="3" width="18" customWidth="1"/>
    <col min="4" max="4" width="14" customWidth="1"/>
    <col min="5" max="5" width="8" customWidth="1"/>
    <col min="6" max="7" width="10" customWidth="1"/>
    <col min="8" max="8" width="16" customWidth="1"/>
    <col min="9" max="9" width="18" customWidth="1"/>
  </cols>
  <sheetData>
    <row r="1" spans="1:5" ht="15" customHeight="1" x14ac:dyDescent="0.2">
      <c r="A1" s="40" t="s">
        <v>261</v>
      </c>
    </row>
    <row r="2" spans="1:5" ht="15" customHeight="1" x14ac:dyDescent="0.2">
      <c r="A2" s="41" t="s">
        <v>262</v>
      </c>
    </row>
    <row r="3" spans="1:5" ht="15" customHeight="1" x14ac:dyDescent="0.2">
      <c r="A3" s="41" t="s">
        <v>263</v>
      </c>
    </row>
    <row r="4" spans="1:5" ht="15" customHeight="1" x14ac:dyDescent="0.2">
      <c r="A4" s="41" t="s">
        <v>264</v>
      </c>
    </row>
    <row r="6" spans="1:5" ht="15" customHeight="1" x14ac:dyDescent="0.2">
      <c r="A6" s="40" t="s">
        <v>265</v>
      </c>
    </row>
    <row r="7" spans="1:5" ht="15" customHeight="1" x14ac:dyDescent="0.2">
      <c r="A7" s="42" t="s">
        <v>50</v>
      </c>
      <c r="B7" s="42" t="s">
        <v>266</v>
      </c>
      <c r="C7" s="42" t="s">
        <v>52</v>
      </c>
      <c r="D7" s="42" t="s">
        <v>53</v>
      </c>
      <c r="E7" s="42" t="s">
        <v>55</v>
      </c>
    </row>
    <row r="8" spans="1:5" ht="15" customHeight="1" x14ac:dyDescent="0.2">
      <c r="A8" s="41" t="s">
        <v>267</v>
      </c>
      <c r="B8" s="41" t="s">
        <v>15</v>
      </c>
      <c r="C8" s="41" t="s">
        <v>58</v>
      </c>
      <c r="D8" s="43">
        <v>0.4</v>
      </c>
      <c r="E8" s="41" t="s">
        <v>268</v>
      </c>
    </row>
    <row r="9" spans="1:5" ht="15" customHeight="1" x14ac:dyDescent="0.2">
      <c r="A9" s="41" t="s">
        <v>267</v>
      </c>
      <c r="B9" s="41" t="s">
        <v>15</v>
      </c>
      <c r="C9" s="41" t="s">
        <v>63</v>
      </c>
      <c r="D9" s="43">
        <v>0.65</v>
      </c>
      <c r="E9" s="41" t="s">
        <v>268</v>
      </c>
    </row>
    <row r="10" spans="1:5" ht="15" customHeight="1" x14ac:dyDescent="0.2">
      <c r="A10" s="41" t="s">
        <v>269</v>
      </c>
      <c r="B10" s="41" t="s">
        <v>166</v>
      </c>
      <c r="C10" s="41" t="s">
        <v>58</v>
      </c>
      <c r="D10" s="43">
        <v>0.08</v>
      </c>
      <c r="E10" s="41" t="s">
        <v>268</v>
      </c>
    </row>
    <row r="11" spans="1:5" ht="15" customHeight="1" x14ac:dyDescent="0.2">
      <c r="A11" s="41" t="s">
        <v>269</v>
      </c>
      <c r="B11" s="41" t="s">
        <v>166</v>
      </c>
      <c r="C11" s="41" t="s">
        <v>63</v>
      </c>
      <c r="D11" s="43">
        <v>0.3</v>
      </c>
      <c r="E11" s="41" t="s">
        <v>268</v>
      </c>
    </row>
    <row r="12" spans="1:5" ht="15" customHeight="1" x14ac:dyDescent="0.2">
      <c r="A12" s="41" t="s">
        <v>270</v>
      </c>
      <c r="B12" s="41" t="s">
        <v>169</v>
      </c>
      <c r="C12" s="41" t="s">
        <v>63</v>
      </c>
      <c r="D12" s="43">
        <v>0.15</v>
      </c>
      <c r="E12" s="41" t="s">
        <v>268</v>
      </c>
    </row>
    <row r="13" spans="1:5" ht="15" customHeight="1" x14ac:dyDescent="0.2">
      <c r="A13" s="41" t="s">
        <v>271</v>
      </c>
      <c r="B13" s="41" t="s">
        <v>172</v>
      </c>
      <c r="C13" s="41" t="s">
        <v>63</v>
      </c>
      <c r="D13" s="43">
        <v>0.15</v>
      </c>
      <c r="E13" s="41" t="s">
        <v>268</v>
      </c>
    </row>
    <row r="14" spans="1:5" ht="15" customHeight="1" x14ac:dyDescent="0.2">
      <c r="A14" s="41" t="s">
        <v>272</v>
      </c>
      <c r="B14" s="41" t="s">
        <v>17</v>
      </c>
      <c r="C14" s="41" t="s">
        <v>58</v>
      </c>
      <c r="D14" s="43">
        <v>0.03</v>
      </c>
      <c r="E14" s="41" t="s">
        <v>268</v>
      </c>
    </row>
    <row r="15" spans="1:5" ht="15" customHeight="1" x14ac:dyDescent="0.2">
      <c r="A15" s="41" t="s">
        <v>273</v>
      </c>
      <c r="B15" s="41" t="s">
        <v>274</v>
      </c>
      <c r="C15" s="41" t="s">
        <v>63</v>
      </c>
      <c r="D15" s="43">
        <v>0.12</v>
      </c>
      <c r="E15" s="41" t="s">
        <v>268</v>
      </c>
    </row>
    <row r="16" spans="1:5" ht="15" customHeight="1" x14ac:dyDescent="0.2">
      <c r="A16" s="41" t="s">
        <v>275</v>
      </c>
      <c r="B16" s="41" t="s">
        <v>276</v>
      </c>
      <c r="C16" s="41" t="s">
        <v>63</v>
      </c>
      <c r="D16" s="43">
        <v>0.1</v>
      </c>
      <c r="E16" s="41" t="s">
        <v>268</v>
      </c>
    </row>
    <row r="17" spans="1:9" ht="15" customHeight="1" x14ac:dyDescent="0.2">
      <c r="A17" s="41" t="s">
        <v>277</v>
      </c>
      <c r="B17" s="41" t="s">
        <v>278</v>
      </c>
      <c r="C17" s="41" t="s">
        <v>63</v>
      </c>
      <c r="D17" s="43">
        <v>0.25</v>
      </c>
      <c r="E17" s="41" t="s">
        <v>268</v>
      </c>
    </row>
    <row r="18" spans="1:9" ht="15" customHeight="1" x14ac:dyDescent="0.2">
      <c r="A18" s="41" t="s">
        <v>279</v>
      </c>
      <c r="D18" s="44">
        <f>Positions!$H$16</f>
        <v>410200.5</v>
      </c>
      <c r="E18" s="41" t="s">
        <v>280</v>
      </c>
    </row>
    <row r="20" spans="1:9" ht="15" customHeight="1" x14ac:dyDescent="0.2">
      <c r="A20" s="40" t="s">
        <v>281</v>
      </c>
    </row>
    <row r="21" spans="1:9" ht="15" customHeight="1" x14ac:dyDescent="0.2">
      <c r="A21" s="41" t="s">
        <v>282</v>
      </c>
    </row>
    <row r="22" spans="1:9" ht="15" customHeight="1" x14ac:dyDescent="0.2">
      <c r="A22" s="42" t="s">
        <v>50</v>
      </c>
      <c r="B22" s="42" t="s">
        <v>283</v>
      </c>
      <c r="C22" s="42" t="s">
        <v>142</v>
      </c>
      <c r="D22" s="42" t="s">
        <v>284</v>
      </c>
      <c r="E22" s="42" t="s">
        <v>52</v>
      </c>
      <c r="F22" s="42" t="s">
        <v>53</v>
      </c>
      <c r="G22" s="42" t="s">
        <v>71</v>
      </c>
      <c r="H22" s="42" t="s">
        <v>285</v>
      </c>
      <c r="I22" s="42" t="s">
        <v>286</v>
      </c>
    </row>
    <row r="23" spans="1:9" ht="15" customHeight="1" x14ac:dyDescent="0.2">
      <c r="A23" s="41" t="s">
        <v>267</v>
      </c>
      <c r="B23" s="41" t="s">
        <v>15</v>
      </c>
      <c r="C23" s="44">
        <f>'Alloc-AssetClass'!E5</f>
        <v>284713.5</v>
      </c>
      <c r="D23" s="45">
        <f t="shared" ref="D23:D29" si="0">IF(C23="","",C23/$D$18)</f>
        <v>0.69408374685062546</v>
      </c>
      <c r="E23" s="41" t="s">
        <v>58</v>
      </c>
      <c r="F23" s="45">
        <f>$D$8</f>
        <v>0.4</v>
      </c>
      <c r="G23" s="41" t="str">
        <f>IF(D23="","",IF(D23&lt;F23,"breach","ok"))</f>
        <v>ok</v>
      </c>
      <c r="H23" s="46">
        <f>IF(C23="","",F23*$D$18-C23)</f>
        <v>-120633.29999999999</v>
      </c>
      <c r="I23" s="45">
        <f t="shared" ref="I23:I29" si="1">IF(H23="","",H23/$D$18)</f>
        <v>-0.29408374685062544</v>
      </c>
    </row>
    <row r="24" spans="1:9" ht="15" customHeight="1" x14ac:dyDescent="0.2">
      <c r="A24" s="41" t="s">
        <v>267</v>
      </c>
      <c r="B24" s="41" t="s">
        <v>15</v>
      </c>
      <c r="C24" s="44">
        <f>'Alloc-AssetClass'!E5</f>
        <v>284713.5</v>
      </c>
      <c r="D24" s="45">
        <f t="shared" si="0"/>
        <v>0.69408374685062546</v>
      </c>
      <c r="E24" s="41" t="s">
        <v>63</v>
      </c>
      <c r="F24" s="45">
        <f>$D$9</f>
        <v>0.65</v>
      </c>
      <c r="G24" s="41" t="str">
        <f>IF(D24="","",IF(D24&gt;F24,"breach","ok"))</f>
        <v>breach</v>
      </c>
      <c r="H24" s="46">
        <f>IF(C24="","",C24-F24*$D$18)</f>
        <v>18083.174999999988</v>
      </c>
      <c r="I24" s="45">
        <f t="shared" si="1"/>
        <v>4.4083746850625459E-2</v>
      </c>
    </row>
    <row r="25" spans="1:9" ht="15" customHeight="1" x14ac:dyDescent="0.2">
      <c r="A25" s="41" t="s">
        <v>269</v>
      </c>
      <c r="B25" s="41" t="s">
        <v>166</v>
      </c>
      <c r="C25" s="44">
        <f>'Alloc-AssetClass'!E6</f>
        <v>40975</v>
      </c>
      <c r="D25" s="45">
        <f t="shared" si="0"/>
        <v>9.9890175658001387E-2</v>
      </c>
      <c r="E25" s="41" t="s">
        <v>58</v>
      </c>
      <c r="F25" s="45">
        <f>$D$10</f>
        <v>0.08</v>
      </c>
      <c r="G25" s="41" t="str">
        <f>IF(D25="","",IF(D25&lt;F25,"breach","ok"))</f>
        <v>ok</v>
      </c>
      <c r="H25" s="46">
        <f>IF(C25="","",F25*$D$18-C25)</f>
        <v>-8158.9599999999991</v>
      </c>
      <c r="I25" s="45">
        <f t="shared" si="1"/>
        <v>-1.9890175658001389E-2</v>
      </c>
    </row>
    <row r="26" spans="1:9" ht="15" customHeight="1" x14ac:dyDescent="0.2">
      <c r="A26" s="41" t="s">
        <v>269</v>
      </c>
      <c r="B26" s="41" t="s">
        <v>166</v>
      </c>
      <c r="C26" s="44">
        <f>'Alloc-AssetClass'!E6</f>
        <v>40975</v>
      </c>
      <c r="D26" s="45">
        <f t="shared" si="0"/>
        <v>9.9890175658001387E-2</v>
      </c>
      <c r="E26" s="41" t="s">
        <v>63</v>
      </c>
      <c r="F26" s="45">
        <f>$D$11</f>
        <v>0.3</v>
      </c>
      <c r="G26" s="41" t="str">
        <f>IF(D26="","",IF(D26&gt;F26,"breach","ok"))</f>
        <v>ok</v>
      </c>
      <c r="H26" s="46">
        <f>IF(C26="","",C26-F26*$D$18)</f>
        <v>-82085.149999999994</v>
      </c>
      <c r="I26" s="45">
        <f t="shared" si="1"/>
        <v>-0.20010982434199859</v>
      </c>
    </row>
    <row r="27" spans="1:9" ht="15" customHeight="1" x14ac:dyDescent="0.2">
      <c r="A27" s="41" t="s">
        <v>270</v>
      </c>
      <c r="B27" s="41" t="s">
        <v>169</v>
      </c>
      <c r="C27" s="44">
        <f>'Alloc-AssetClass'!E8</f>
        <v>40278</v>
      </c>
      <c r="D27" s="45">
        <f t="shared" si="0"/>
        <v>9.8191006593117275E-2</v>
      </c>
      <c r="E27" s="41" t="s">
        <v>63</v>
      </c>
      <c r="F27" s="45">
        <f>$D$12</f>
        <v>0.15</v>
      </c>
      <c r="G27" s="41" t="str">
        <f>IF(D27="","",IF(D27&gt;F27,"breach","ok"))</f>
        <v>ok</v>
      </c>
      <c r="H27" s="46">
        <f>IF(C27="","",C27-F27*$D$18)</f>
        <v>-21252.074999999997</v>
      </c>
      <c r="I27" s="45">
        <f t="shared" si="1"/>
        <v>-5.1808993406882727E-2</v>
      </c>
    </row>
    <row r="28" spans="1:9" ht="15" customHeight="1" x14ac:dyDescent="0.2">
      <c r="A28" s="41" t="s">
        <v>271</v>
      </c>
      <c r="B28" s="41" t="s">
        <v>172</v>
      </c>
      <c r="C28" s="44">
        <f>'Alloc-AssetClass'!E7</f>
        <v>28734</v>
      </c>
      <c r="D28" s="45">
        <f t="shared" si="0"/>
        <v>7.0048671320488393E-2</v>
      </c>
      <c r="E28" s="41" t="s">
        <v>63</v>
      </c>
      <c r="F28" s="45">
        <f>$D$13</f>
        <v>0.15</v>
      </c>
      <c r="G28" s="41" t="str">
        <f>IF(D28="","",IF(D28&gt;F28,"breach","ok"))</f>
        <v>ok</v>
      </c>
      <c r="H28" s="46">
        <f>IF(C28="","",C28-F28*$D$18)</f>
        <v>-32796.074999999997</v>
      </c>
      <c r="I28" s="45">
        <f t="shared" si="1"/>
        <v>-7.9951328679511602E-2</v>
      </c>
    </row>
    <row r="29" spans="1:9" ht="15" customHeight="1" x14ac:dyDescent="0.2">
      <c r="A29" s="41" t="s">
        <v>272</v>
      </c>
      <c r="B29" s="41" t="s">
        <v>17</v>
      </c>
      <c r="C29" s="44">
        <f>'Alloc-AssetClass'!E9</f>
        <v>15500</v>
      </c>
      <c r="D29" s="45">
        <f t="shared" si="0"/>
        <v>3.7786399577767457E-2</v>
      </c>
      <c r="E29" s="41" t="s">
        <v>58</v>
      </c>
      <c r="F29" s="45">
        <f>$D$14</f>
        <v>0.03</v>
      </c>
      <c r="G29" s="41" t="str">
        <f>IF(D29="","",IF(D29&lt;F29,"breach","ok"))</f>
        <v>ok</v>
      </c>
      <c r="H29" s="46">
        <f>IF(C29="","",F29*$D$18-C29)</f>
        <v>-3193.9850000000006</v>
      </c>
      <c r="I29" s="45">
        <f t="shared" si="1"/>
        <v>-7.7863995777674591E-3</v>
      </c>
    </row>
    <row r="31" spans="1:9" ht="15" customHeight="1" x14ac:dyDescent="0.2">
      <c r="A31" s="40" t="s">
        <v>287</v>
      </c>
    </row>
    <row r="32" spans="1:9" ht="15" customHeight="1" x14ac:dyDescent="0.2">
      <c r="A32" s="41" t="s">
        <v>288</v>
      </c>
    </row>
    <row r="33" spans="1:9" ht="15" customHeight="1" x14ac:dyDescent="0.2">
      <c r="A33" s="42" t="s">
        <v>50</v>
      </c>
      <c r="B33" s="42" t="s">
        <v>283</v>
      </c>
      <c r="C33" s="42" t="s">
        <v>142</v>
      </c>
      <c r="D33" s="42" t="s">
        <v>284</v>
      </c>
      <c r="E33" s="42" t="s">
        <v>52</v>
      </c>
      <c r="F33" s="42" t="s">
        <v>53</v>
      </c>
      <c r="G33" s="42" t="s">
        <v>71</v>
      </c>
      <c r="H33" s="42" t="s">
        <v>285</v>
      </c>
      <c r="I33" s="42" t="s">
        <v>286</v>
      </c>
    </row>
    <row r="34" spans="1:9" ht="15" customHeight="1" x14ac:dyDescent="0.2">
      <c r="A34" s="41" t="s">
        <v>273</v>
      </c>
      <c r="B34" s="41" t="s">
        <v>148</v>
      </c>
      <c r="C34" s="44">
        <f>Positions!H5</f>
        <v>76516</v>
      </c>
      <c r="D34" s="45">
        <f t="shared" ref="D34:D42" si="2">IF(C34="","",C34/$D$18)</f>
        <v>0.18653317097370675</v>
      </c>
      <c r="E34" s="41" t="s">
        <v>63</v>
      </c>
      <c r="F34" s="45">
        <f t="shared" ref="F34:F42" si="3">$D$15</f>
        <v>0.12</v>
      </c>
      <c r="G34" s="41" t="str">
        <f t="shared" ref="G34:G42" si="4">IF(D34="","",IF(D34&gt;F34,"breach","ok"))</f>
        <v>breach</v>
      </c>
      <c r="H34" s="46">
        <f t="shared" ref="H34:H42" si="5">IF(C34="","",C34-F34*$D$18)</f>
        <v>27291.940000000002</v>
      </c>
      <c r="I34" s="45">
        <f t="shared" ref="I34:I42" si="6">IF(H34="","",H34/$D$18)</f>
        <v>6.6533170973706771E-2</v>
      </c>
    </row>
    <row r="35" spans="1:9" ht="15" customHeight="1" x14ac:dyDescent="0.2">
      <c r="A35" s="41" t="s">
        <v>273</v>
      </c>
      <c r="B35" s="41" t="s">
        <v>151</v>
      </c>
      <c r="C35" s="44">
        <f>Positions!H6</f>
        <v>64991.999999999993</v>
      </c>
      <c r="D35" s="45">
        <f t="shared" si="2"/>
        <v>0.15843959234569435</v>
      </c>
      <c r="E35" s="41" t="s">
        <v>63</v>
      </c>
      <c r="F35" s="45">
        <f t="shared" si="3"/>
        <v>0.12</v>
      </c>
      <c r="G35" s="41" t="str">
        <f t="shared" si="4"/>
        <v>breach</v>
      </c>
      <c r="H35" s="46">
        <f t="shared" si="5"/>
        <v>15767.939999999995</v>
      </c>
      <c r="I35" s="45">
        <f t="shared" si="6"/>
        <v>3.843959234569435E-2</v>
      </c>
    </row>
    <row r="36" spans="1:9" ht="15" customHeight="1" x14ac:dyDescent="0.2">
      <c r="A36" s="41" t="s">
        <v>273</v>
      </c>
      <c r="B36" s="41" t="s">
        <v>154</v>
      </c>
      <c r="C36" s="44">
        <f>Positions!H7</f>
        <v>49682</v>
      </c>
      <c r="D36" s="45">
        <f t="shared" si="2"/>
        <v>0.12111638089178341</v>
      </c>
      <c r="E36" s="41" t="s">
        <v>63</v>
      </c>
      <c r="F36" s="45">
        <f t="shared" si="3"/>
        <v>0.12</v>
      </c>
      <c r="G36" s="41" t="str">
        <f t="shared" si="4"/>
        <v>breach</v>
      </c>
      <c r="H36" s="46">
        <f t="shared" si="5"/>
        <v>457.94000000000233</v>
      </c>
      <c r="I36" s="45">
        <f t="shared" si="6"/>
        <v>1.116380891783414E-3</v>
      </c>
    </row>
    <row r="37" spans="1:9" ht="15" customHeight="1" x14ac:dyDescent="0.2">
      <c r="A37" s="41" t="s">
        <v>273</v>
      </c>
      <c r="B37" s="41" t="s">
        <v>156</v>
      </c>
      <c r="C37" s="44">
        <f>Positions!H8</f>
        <v>41281.5</v>
      </c>
      <c r="D37" s="45">
        <f t="shared" si="2"/>
        <v>0.10063737123674886</v>
      </c>
      <c r="E37" s="41" t="s">
        <v>63</v>
      </c>
      <c r="F37" s="45">
        <f t="shared" si="3"/>
        <v>0.12</v>
      </c>
      <c r="G37" s="41" t="str">
        <f t="shared" si="4"/>
        <v>ok</v>
      </c>
      <c r="H37" s="46">
        <f t="shared" si="5"/>
        <v>-7942.5599999999977</v>
      </c>
      <c r="I37" s="45">
        <f t="shared" si="6"/>
        <v>-1.9362628763251136E-2</v>
      </c>
    </row>
    <row r="38" spans="1:9" ht="15" customHeight="1" x14ac:dyDescent="0.2">
      <c r="A38" s="41" t="s">
        <v>273</v>
      </c>
      <c r="B38" s="41" t="s">
        <v>159</v>
      </c>
      <c r="C38" s="44">
        <f>Positions!H9</f>
        <v>35622</v>
      </c>
      <c r="D38" s="45">
        <f t="shared" si="2"/>
        <v>8.6840459726402086E-2</v>
      </c>
      <c r="E38" s="41" t="s">
        <v>63</v>
      </c>
      <c r="F38" s="45">
        <f t="shared" si="3"/>
        <v>0.12</v>
      </c>
      <c r="G38" s="41" t="str">
        <f t="shared" si="4"/>
        <v>ok</v>
      </c>
      <c r="H38" s="46">
        <f t="shared" si="5"/>
        <v>-13602.059999999998</v>
      </c>
      <c r="I38" s="45">
        <f t="shared" si="6"/>
        <v>-3.3159540273597903E-2</v>
      </c>
    </row>
    <row r="39" spans="1:9" ht="15" customHeight="1" x14ac:dyDescent="0.2">
      <c r="A39" s="41" t="s">
        <v>273</v>
      </c>
      <c r="B39" s="41" t="s">
        <v>162</v>
      </c>
      <c r="C39" s="44">
        <f>Positions!H10</f>
        <v>16620</v>
      </c>
      <c r="D39" s="45">
        <f t="shared" si="2"/>
        <v>4.051677167629001E-2</v>
      </c>
      <c r="E39" s="41" t="s">
        <v>63</v>
      </c>
      <c r="F39" s="45">
        <f t="shared" si="3"/>
        <v>0.12</v>
      </c>
      <c r="G39" s="41" t="str">
        <f t="shared" si="4"/>
        <v>ok</v>
      </c>
      <c r="H39" s="46">
        <f t="shared" si="5"/>
        <v>-32604.059999999998</v>
      </c>
      <c r="I39" s="45">
        <f t="shared" si="6"/>
        <v>-7.9483228323709978E-2</v>
      </c>
    </row>
    <row r="40" spans="1:9" ht="15" customHeight="1" x14ac:dyDescent="0.2">
      <c r="A40" s="41" t="s">
        <v>273</v>
      </c>
      <c r="B40" s="41" t="s">
        <v>165</v>
      </c>
      <c r="C40" s="44">
        <f>Positions!H11</f>
        <v>40975</v>
      </c>
      <c r="D40" s="45">
        <f t="shared" si="2"/>
        <v>9.9890175658001387E-2</v>
      </c>
      <c r="E40" s="41" t="s">
        <v>63</v>
      </c>
      <c r="F40" s="45">
        <f t="shared" si="3"/>
        <v>0.12</v>
      </c>
      <c r="G40" s="41" t="str">
        <f t="shared" si="4"/>
        <v>ok</v>
      </c>
      <c r="H40" s="46">
        <f t="shared" si="5"/>
        <v>-8249.0599999999977</v>
      </c>
      <c r="I40" s="45">
        <f t="shared" si="6"/>
        <v>-2.0109824341998601E-2</v>
      </c>
    </row>
    <row r="41" spans="1:9" ht="15" customHeight="1" x14ac:dyDescent="0.2">
      <c r="A41" s="41" t="s">
        <v>273</v>
      </c>
      <c r="B41" s="41" t="s">
        <v>168</v>
      </c>
      <c r="C41" s="44">
        <f>Positions!H12</f>
        <v>40278</v>
      </c>
      <c r="D41" s="45">
        <f t="shared" si="2"/>
        <v>9.8191006593117275E-2</v>
      </c>
      <c r="E41" s="41" t="s">
        <v>63</v>
      </c>
      <c r="F41" s="45">
        <f t="shared" si="3"/>
        <v>0.12</v>
      </c>
      <c r="G41" s="41" t="str">
        <f t="shared" si="4"/>
        <v>ok</v>
      </c>
      <c r="H41" s="46">
        <f t="shared" si="5"/>
        <v>-8946.0599999999977</v>
      </c>
      <c r="I41" s="45">
        <f t="shared" si="6"/>
        <v>-2.1808993406882728E-2</v>
      </c>
    </row>
    <row r="42" spans="1:9" ht="15" customHeight="1" x14ac:dyDescent="0.2">
      <c r="A42" s="41" t="s">
        <v>273</v>
      </c>
      <c r="B42" s="41" t="s">
        <v>171</v>
      </c>
      <c r="C42" s="44">
        <f>Positions!H13</f>
        <v>28734</v>
      </c>
      <c r="D42" s="45">
        <f t="shared" si="2"/>
        <v>7.0048671320488393E-2</v>
      </c>
      <c r="E42" s="41" t="s">
        <v>63</v>
      </c>
      <c r="F42" s="45">
        <f t="shared" si="3"/>
        <v>0.12</v>
      </c>
      <c r="G42" s="41" t="str">
        <f t="shared" si="4"/>
        <v>ok</v>
      </c>
      <c r="H42" s="46">
        <f t="shared" si="5"/>
        <v>-20490.059999999998</v>
      </c>
      <c r="I42" s="45">
        <f t="shared" si="6"/>
        <v>-4.9951328679511596E-2</v>
      </c>
    </row>
    <row r="44" spans="1:9" ht="15" customHeight="1" x14ac:dyDescent="0.2">
      <c r="A44" s="40" t="s">
        <v>289</v>
      </c>
    </row>
    <row r="45" spans="1:9" ht="15" customHeight="1" x14ac:dyDescent="0.2">
      <c r="A45" s="42" t="s">
        <v>135</v>
      </c>
      <c r="B45" s="42" t="s">
        <v>290</v>
      </c>
    </row>
    <row r="46" spans="1:9" ht="15" customHeight="1" x14ac:dyDescent="0.2">
      <c r="A46" s="41" t="s">
        <v>148</v>
      </c>
      <c r="B46" s="47" t="s">
        <v>291</v>
      </c>
    </row>
    <row r="47" spans="1:9" ht="15" customHeight="1" x14ac:dyDescent="0.2">
      <c r="A47" s="41" t="s">
        <v>151</v>
      </c>
      <c r="B47" s="47" t="s">
        <v>292</v>
      </c>
    </row>
    <row r="48" spans="1:9" ht="15" customHeight="1" x14ac:dyDescent="0.2">
      <c r="A48" s="41" t="s">
        <v>154</v>
      </c>
      <c r="B48" s="47" t="s">
        <v>292</v>
      </c>
    </row>
    <row r="49" spans="1:9" ht="15" customHeight="1" x14ac:dyDescent="0.2">
      <c r="A49" s="41" t="s">
        <v>156</v>
      </c>
      <c r="B49" s="47" t="s">
        <v>292</v>
      </c>
    </row>
    <row r="50" spans="1:9" ht="15" customHeight="1" x14ac:dyDescent="0.2">
      <c r="A50" s="41" t="s">
        <v>159</v>
      </c>
      <c r="B50" s="47" t="s">
        <v>292</v>
      </c>
    </row>
    <row r="51" spans="1:9" ht="15" customHeight="1" x14ac:dyDescent="0.2">
      <c r="A51" s="41" t="s">
        <v>162</v>
      </c>
      <c r="B51" s="47" t="s">
        <v>292</v>
      </c>
    </row>
    <row r="52" spans="1:9" ht="15" customHeight="1" x14ac:dyDescent="0.2">
      <c r="A52" s="41" t="s">
        <v>165</v>
      </c>
      <c r="B52" s="47" t="s">
        <v>291</v>
      </c>
    </row>
    <row r="53" spans="1:9" ht="15" customHeight="1" x14ac:dyDescent="0.2">
      <c r="A53" s="41" t="s">
        <v>168</v>
      </c>
      <c r="B53" s="47" t="s">
        <v>291</v>
      </c>
    </row>
    <row r="54" spans="1:9" ht="15" customHeight="1" x14ac:dyDescent="0.2">
      <c r="A54" s="41" t="s">
        <v>171</v>
      </c>
      <c r="B54" s="47" t="s">
        <v>291</v>
      </c>
    </row>
    <row r="56" spans="1:9" ht="15" customHeight="1" x14ac:dyDescent="0.2">
      <c r="A56" s="40" t="s">
        <v>293</v>
      </c>
    </row>
    <row r="57" spans="1:9" ht="15" customHeight="1" x14ac:dyDescent="0.2">
      <c r="A57" s="41" t="s">
        <v>294</v>
      </c>
    </row>
    <row r="58" spans="1:9" ht="15" customHeight="1" x14ac:dyDescent="0.2">
      <c r="A58" s="42" t="s">
        <v>50</v>
      </c>
      <c r="B58" s="42" t="s">
        <v>283</v>
      </c>
      <c r="C58" s="42" t="s">
        <v>142</v>
      </c>
      <c r="D58" s="42" t="s">
        <v>284</v>
      </c>
      <c r="E58" s="42" t="s">
        <v>52</v>
      </c>
      <c r="F58" s="42" t="s">
        <v>53</v>
      </c>
      <c r="G58" s="42" t="s">
        <v>71</v>
      </c>
      <c r="H58" s="42" t="s">
        <v>285</v>
      </c>
      <c r="I58" s="42" t="s">
        <v>286</v>
      </c>
    </row>
    <row r="59" spans="1:9" ht="15" customHeight="1" x14ac:dyDescent="0.2">
      <c r="A59" s="41" t="s">
        <v>275</v>
      </c>
      <c r="B59" s="41" t="s">
        <v>148</v>
      </c>
      <c r="C59" s="44">
        <f>Positions!H5</f>
        <v>76516</v>
      </c>
      <c r="D59" s="45">
        <f t="shared" ref="D59:D67" si="7">IF(C59="","",C59/$D$18)</f>
        <v>0.18653317097370675</v>
      </c>
      <c r="E59" s="41" t="s">
        <v>63</v>
      </c>
      <c r="F59" s="45">
        <f t="shared" ref="F59:F67" si="8">$D$16</f>
        <v>0.1</v>
      </c>
      <c r="G59" s="41" t="str">
        <f>IF($B$46="fund","exempt",IF(D59="","",IF(D59&gt;F59,"breach","ok")))</f>
        <v>exempt</v>
      </c>
      <c r="H59" s="46" t="str">
        <f>IF($B$46="fund","",IF(C59="","",C59-F59*$D$18))</f>
        <v/>
      </c>
      <c r="I59" s="45" t="str">
        <f t="shared" ref="I59:I67" si="9">IF(H59="","",H59/$D$18)</f>
        <v/>
      </c>
    </row>
    <row r="60" spans="1:9" ht="15" customHeight="1" x14ac:dyDescent="0.2">
      <c r="A60" s="41" t="s">
        <v>275</v>
      </c>
      <c r="B60" s="41" t="s">
        <v>151</v>
      </c>
      <c r="C60" s="44">
        <f>Positions!H6</f>
        <v>64991.999999999993</v>
      </c>
      <c r="D60" s="45">
        <f t="shared" si="7"/>
        <v>0.15843959234569435</v>
      </c>
      <c r="E60" s="41" t="s">
        <v>63</v>
      </c>
      <c r="F60" s="45">
        <f t="shared" si="8"/>
        <v>0.1</v>
      </c>
      <c r="G60" s="41" t="str">
        <f>IF($B$47="fund","exempt",IF(D60="","",IF(D60&gt;F60,"breach","ok")))</f>
        <v>breach</v>
      </c>
      <c r="H60" s="46">
        <f>IF($B$47="fund","",IF(C60="","",C60-F60*$D$18))</f>
        <v>23971.94999999999</v>
      </c>
      <c r="I60" s="45">
        <f t="shared" si="9"/>
        <v>5.843959234569434E-2</v>
      </c>
    </row>
    <row r="61" spans="1:9" ht="15" customHeight="1" x14ac:dyDescent="0.2">
      <c r="A61" s="41" t="s">
        <v>275</v>
      </c>
      <c r="B61" s="41" t="s">
        <v>154</v>
      </c>
      <c r="C61" s="44">
        <f>Positions!H7</f>
        <v>49682</v>
      </c>
      <c r="D61" s="45">
        <f t="shared" si="7"/>
        <v>0.12111638089178341</v>
      </c>
      <c r="E61" s="41" t="s">
        <v>63</v>
      </c>
      <c r="F61" s="45">
        <f t="shared" si="8"/>
        <v>0.1</v>
      </c>
      <c r="G61" s="41" t="str">
        <f>IF($B$48="fund","exempt",IF(D61="","",IF(D61&gt;F61,"breach","ok")))</f>
        <v>breach</v>
      </c>
      <c r="H61" s="46">
        <f>IF($B$48="fund","",IF(C61="","",C61-F61*$D$18))</f>
        <v>8661.9499999999971</v>
      </c>
      <c r="I61" s="45">
        <f t="shared" si="9"/>
        <v>2.1116380891783401E-2</v>
      </c>
    </row>
    <row r="62" spans="1:9" ht="15" customHeight="1" x14ac:dyDescent="0.2">
      <c r="A62" s="41" t="s">
        <v>275</v>
      </c>
      <c r="B62" s="41" t="s">
        <v>156</v>
      </c>
      <c r="C62" s="44">
        <f>Positions!H8</f>
        <v>41281.5</v>
      </c>
      <c r="D62" s="45">
        <f t="shared" si="7"/>
        <v>0.10063737123674886</v>
      </c>
      <c r="E62" s="41" t="s">
        <v>63</v>
      </c>
      <c r="F62" s="45">
        <f t="shared" si="8"/>
        <v>0.1</v>
      </c>
      <c r="G62" s="41" t="str">
        <f>IF($B$49="fund","exempt",IF(D62="","",IF(D62&gt;F62,"breach","ok")))</f>
        <v>breach</v>
      </c>
      <c r="H62" s="46">
        <f>IF($B$49="fund","",IF(C62="","",C62-F62*$D$18))</f>
        <v>261.44999999999709</v>
      </c>
      <c r="I62" s="45">
        <f t="shared" si="9"/>
        <v>6.3737123674885107E-4</v>
      </c>
    </row>
    <row r="63" spans="1:9" ht="15" customHeight="1" x14ac:dyDescent="0.2">
      <c r="A63" s="41" t="s">
        <v>275</v>
      </c>
      <c r="B63" s="41" t="s">
        <v>159</v>
      </c>
      <c r="C63" s="44">
        <f>Positions!H9</f>
        <v>35622</v>
      </c>
      <c r="D63" s="45">
        <f t="shared" si="7"/>
        <v>8.6840459726402086E-2</v>
      </c>
      <c r="E63" s="41" t="s">
        <v>63</v>
      </c>
      <c r="F63" s="45">
        <f t="shared" si="8"/>
        <v>0.1</v>
      </c>
      <c r="G63" s="41" t="str">
        <f>IF($B$50="fund","exempt",IF(D63="","",IF(D63&gt;F63,"breach","ok")))</f>
        <v>ok</v>
      </c>
      <c r="H63" s="46">
        <f>IF($B$50="fund","",IF(C63="","",C63-F63*$D$18))</f>
        <v>-5398.0500000000029</v>
      </c>
      <c r="I63" s="45">
        <f t="shared" si="9"/>
        <v>-1.3159540273597918E-2</v>
      </c>
    </row>
    <row r="64" spans="1:9" ht="15" customHeight="1" x14ac:dyDescent="0.2">
      <c r="A64" s="41" t="s">
        <v>275</v>
      </c>
      <c r="B64" s="41" t="s">
        <v>162</v>
      </c>
      <c r="C64" s="44">
        <f>Positions!H10</f>
        <v>16620</v>
      </c>
      <c r="D64" s="45">
        <f t="shared" si="7"/>
        <v>4.051677167629001E-2</v>
      </c>
      <c r="E64" s="41" t="s">
        <v>63</v>
      </c>
      <c r="F64" s="45">
        <f t="shared" si="8"/>
        <v>0.1</v>
      </c>
      <c r="G64" s="41" t="str">
        <f>IF($B$51="fund","exempt",IF(D64="","",IF(D64&gt;F64,"breach","ok")))</f>
        <v>ok</v>
      </c>
      <c r="H64" s="46">
        <f>IF($B$51="fund","",IF(C64="","",C64-F64*$D$18))</f>
        <v>-24400.050000000003</v>
      </c>
      <c r="I64" s="45">
        <f t="shared" si="9"/>
        <v>-5.9483228323709995E-2</v>
      </c>
    </row>
    <row r="65" spans="1:9" ht="15" customHeight="1" x14ac:dyDescent="0.2">
      <c r="A65" s="41" t="s">
        <v>275</v>
      </c>
      <c r="B65" s="41" t="s">
        <v>165</v>
      </c>
      <c r="C65" s="44">
        <f>Positions!H11</f>
        <v>40975</v>
      </c>
      <c r="D65" s="45">
        <f t="shared" si="7"/>
        <v>9.9890175658001387E-2</v>
      </c>
      <c r="E65" s="41" t="s">
        <v>63</v>
      </c>
      <c r="F65" s="45">
        <f t="shared" si="8"/>
        <v>0.1</v>
      </c>
      <c r="G65" s="41" t="str">
        <f>IF($B$52="fund","exempt",IF(D65="","",IF(D65&gt;F65,"breach","ok")))</f>
        <v>exempt</v>
      </c>
      <c r="H65" s="46" t="str">
        <f>IF($B$52="fund","",IF(C65="","",C65-F65*$D$18))</f>
        <v/>
      </c>
      <c r="I65" s="45" t="str">
        <f t="shared" si="9"/>
        <v/>
      </c>
    </row>
    <row r="66" spans="1:9" ht="15" customHeight="1" x14ac:dyDescent="0.2">
      <c r="A66" s="41" t="s">
        <v>275</v>
      </c>
      <c r="B66" s="41" t="s">
        <v>168</v>
      </c>
      <c r="C66" s="44">
        <f>Positions!H12</f>
        <v>40278</v>
      </c>
      <c r="D66" s="45">
        <f t="shared" si="7"/>
        <v>9.8191006593117275E-2</v>
      </c>
      <c r="E66" s="41" t="s">
        <v>63</v>
      </c>
      <c r="F66" s="45">
        <f t="shared" si="8"/>
        <v>0.1</v>
      </c>
      <c r="G66" s="41" t="str">
        <f>IF($B$53="fund","exempt",IF(D66="","",IF(D66&gt;F66,"breach","ok")))</f>
        <v>exempt</v>
      </c>
      <c r="H66" s="46" t="str">
        <f>IF($B$53="fund","",IF(C66="","",C66-F66*$D$18))</f>
        <v/>
      </c>
      <c r="I66" s="45" t="str">
        <f t="shared" si="9"/>
        <v/>
      </c>
    </row>
    <row r="67" spans="1:9" ht="15" customHeight="1" x14ac:dyDescent="0.2">
      <c r="A67" s="41" t="s">
        <v>275</v>
      </c>
      <c r="B67" s="41" t="s">
        <v>171</v>
      </c>
      <c r="C67" s="44">
        <f>Positions!H13</f>
        <v>28734</v>
      </c>
      <c r="D67" s="45">
        <f t="shared" si="7"/>
        <v>7.0048671320488393E-2</v>
      </c>
      <c r="E67" s="41" t="s">
        <v>63</v>
      </c>
      <c r="F67" s="45">
        <f t="shared" si="8"/>
        <v>0.1</v>
      </c>
      <c r="G67" s="41" t="str">
        <f>IF($B$54="fund","exempt",IF(D67="","",IF(D67&gt;F67,"breach","ok")))</f>
        <v>exempt</v>
      </c>
      <c r="H67" s="46" t="str">
        <f>IF($B$54="fund","",IF(C67="","",C67-F67*$D$18))</f>
        <v/>
      </c>
      <c r="I67" s="45" t="str">
        <f t="shared" si="9"/>
        <v/>
      </c>
    </row>
    <row r="69" spans="1:9" ht="15" customHeight="1" x14ac:dyDescent="0.2">
      <c r="A69" s="40" t="s">
        <v>295</v>
      </c>
    </row>
    <row r="70" spans="1:9" ht="15" customHeight="1" x14ac:dyDescent="0.2">
      <c r="A70" s="41" t="s">
        <v>296</v>
      </c>
    </row>
    <row r="71" spans="1:9" ht="15" customHeight="1" x14ac:dyDescent="0.2">
      <c r="A71" s="42" t="s">
        <v>50</v>
      </c>
      <c r="B71" s="42" t="s">
        <v>283</v>
      </c>
      <c r="C71" s="42" t="s">
        <v>142</v>
      </c>
      <c r="D71" s="42" t="s">
        <v>284</v>
      </c>
      <c r="E71" s="42" t="s">
        <v>52</v>
      </c>
      <c r="F71" s="42" t="s">
        <v>53</v>
      </c>
      <c r="G71" s="42" t="s">
        <v>71</v>
      </c>
      <c r="H71" s="42" t="s">
        <v>285</v>
      </c>
      <c r="I71" s="42" t="s">
        <v>286</v>
      </c>
    </row>
    <row r="72" spans="1:9" ht="15" customHeight="1" x14ac:dyDescent="0.2">
      <c r="A72" s="41" t="s">
        <v>277</v>
      </c>
      <c r="B72" s="41" t="s">
        <v>152</v>
      </c>
      <c r="C72" s="44">
        <f>'Alloc-Sector'!E5</f>
        <v>114674</v>
      </c>
      <c r="D72" s="45">
        <f>IF(C72="","",C72/$D$18)</f>
        <v>0.27955597323747777</v>
      </c>
      <c r="E72" s="41" t="s">
        <v>63</v>
      </c>
      <c r="F72" s="45">
        <f>$D$17</f>
        <v>0.25</v>
      </c>
      <c r="G72" s="41" t="str">
        <f>IF(D72="","",IF(D72&gt;F72,"breach","ok"))</f>
        <v>breach</v>
      </c>
      <c r="H72" s="46">
        <f>IF(C72="","",C72-F72*$D$18)</f>
        <v>12123.875</v>
      </c>
      <c r="I72" s="45">
        <f>IF(H72="","",H72/$D$18)</f>
        <v>2.9555973237477769E-2</v>
      </c>
    </row>
    <row r="73" spans="1:9" ht="15" customHeight="1" x14ac:dyDescent="0.2">
      <c r="A73" s="41" t="s">
        <v>277</v>
      </c>
      <c r="B73" s="41" t="s">
        <v>157</v>
      </c>
      <c r="C73" s="44">
        <f>'Alloc-Sector'!E6</f>
        <v>41281.5</v>
      </c>
      <c r="D73" s="45">
        <f>IF(C73="","",C73/$D$18)</f>
        <v>0.10063737123674886</v>
      </c>
      <c r="E73" s="41" t="s">
        <v>63</v>
      </c>
      <c r="F73" s="45">
        <f>$D$17</f>
        <v>0.25</v>
      </c>
      <c r="G73" s="41" t="str">
        <f>IF(D73="","",IF(D73&gt;F73,"breach","ok"))</f>
        <v>ok</v>
      </c>
      <c r="H73" s="46">
        <f>IF(C73="","",C73-F73*$D$18)</f>
        <v>-61268.625</v>
      </c>
      <c r="I73" s="45">
        <f>IF(H73="","",H73/$D$18)</f>
        <v>-0.14936262876325115</v>
      </c>
    </row>
    <row r="74" spans="1:9" ht="15" customHeight="1" x14ac:dyDescent="0.2">
      <c r="A74" s="41" t="s">
        <v>277</v>
      </c>
      <c r="B74" s="41" t="s">
        <v>160</v>
      </c>
      <c r="C74" s="44">
        <f>'Alloc-Sector'!E7</f>
        <v>35622</v>
      </c>
      <c r="D74" s="45">
        <f>IF(C74="","",C74/$D$18)</f>
        <v>8.6840459726402086E-2</v>
      </c>
      <c r="E74" s="41" t="s">
        <v>63</v>
      </c>
      <c r="F74" s="45">
        <f>$D$17</f>
        <v>0.25</v>
      </c>
      <c r="G74" s="41" t="str">
        <f>IF(D74="","",IF(D74&gt;F74,"breach","ok"))</f>
        <v>ok</v>
      </c>
      <c r="H74" s="46">
        <f>IF(C74="","",C74-F74*$D$18)</f>
        <v>-66928.125</v>
      </c>
      <c r="I74" s="45">
        <f>IF(H74="","",H74/$D$18)</f>
        <v>-0.16315954027359791</v>
      </c>
    </row>
    <row r="75" spans="1:9" ht="15" customHeight="1" x14ac:dyDescent="0.2">
      <c r="A75" s="41" t="s">
        <v>277</v>
      </c>
      <c r="B75" s="41" t="s">
        <v>163</v>
      </c>
      <c r="C75" s="44">
        <f>'Alloc-Sector'!E8</f>
        <v>16620</v>
      </c>
      <c r="D75" s="45">
        <f>IF(C75="","",C75/$D$18)</f>
        <v>4.051677167629001E-2</v>
      </c>
      <c r="E75" s="41" t="s">
        <v>63</v>
      </c>
      <c r="F75" s="45">
        <f>$D$17</f>
        <v>0.25</v>
      </c>
      <c r="G75" s="41" t="str">
        <f>IF(D75="","",IF(D75&gt;F75,"breach","ok"))</f>
        <v>ok</v>
      </c>
      <c r="H75" s="46">
        <f>IF(C75="","",C75-F75*$D$18)</f>
        <v>-85930.125</v>
      </c>
      <c r="I75" s="45">
        <f>IF(H75="","",H75/$D$18)</f>
        <v>-0.20948322832371</v>
      </c>
    </row>
    <row r="77" spans="1:9" ht="15" customHeight="1" x14ac:dyDescent="0.2">
      <c r="A77" s="40" t="s">
        <v>297</v>
      </c>
    </row>
    <row r="78" spans="1:9" ht="15" customHeight="1" x14ac:dyDescent="0.2">
      <c r="A78" s="42" t="s">
        <v>50</v>
      </c>
      <c r="B78" s="42" t="s">
        <v>283</v>
      </c>
      <c r="C78" s="42" t="s">
        <v>298</v>
      </c>
      <c r="D78" s="42"/>
      <c r="E78" s="42" t="s">
        <v>52</v>
      </c>
      <c r="F78" s="42" t="s">
        <v>53</v>
      </c>
      <c r="G78" s="42" t="s">
        <v>71</v>
      </c>
      <c r="H78" s="42"/>
      <c r="I78" s="42" t="s">
        <v>286</v>
      </c>
    </row>
    <row r="79" spans="1:9" ht="15" customHeight="1" x14ac:dyDescent="0.2">
      <c r="A79" s="41" t="s">
        <v>273</v>
      </c>
      <c r="B79" s="41" t="s">
        <v>299</v>
      </c>
      <c r="C79" s="43">
        <v>0.15</v>
      </c>
      <c r="E79" s="41" t="s">
        <v>63</v>
      </c>
      <c r="F79" s="45">
        <f>$D$15</f>
        <v>0.12</v>
      </c>
      <c r="G79" s="41" t="str">
        <f>IF(C79&gt;F79,"refused","allowed")</f>
        <v>refused</v>
      </c>
      <c r="I79" s="45">
        <f>C79-F79</f>
        <v>0.03</v>
      </c>
    </row>
    <row r="80" spans="1:9" ht="15" customHeight="1" x14ac:dyDescent="0.2">
      <c r="A80" s="41" t="s">
        <v>300</v>
      </c>
    </row>
    <row r="82" spans="1:3" ht="15" customHeight="1" x14ac:dyDescent="0.2">
      <c r="A82" s="40" t="s">
        <v>301</v>
      </c>
    </row>
    <row r="83" spans="1:3" ht="15" customHeight="1" x14ac:dyDescent="0.2">
      <c r="A83" s="41" t="s">
        <v>302</v>
      </c>
    </row>
    <row r="85" spans="1:3" ht="15" customHeight="1" x14ac:dyDescent="0.2">
      <c r="A85" s="40" t="s">
        <v>303</v>
      </c>
    </row>
    <row r="86" spans="1:3" ht="15" customHeight="1" x14ac:dyDescent="0.2">
      <c r="A86" s="41" t="s">
        <v>304</v>
      </c>
      <c r="B86" s="41">
        <f>COUNTIF(G23,"breach")+COUNTIF(G24,"breach")+COUNTIF(G25,"breach")+COUNTIF(G26,"breach")+COUNTIF(G27,"breach")+COUNTIF(G28,"breach")+COUNTIF(G29,"breach")+COUNTIF(G34,"breach")+COUNTIF(G35,"breach")+COUNTIF(G36,"breach")+COUNTIF(G37,"breach")+COUNTIF(G38,"breach")+COUNTIF(G39,"breach")+COUNTIF(G40,"breach")+COUNTIF(G41,"breach")+COUNTIF(G42,"breach")+COUNTIF(G59,"breach")+COUNTIF(G60,"breach")+COUNTIF(G61,"breach")+COUNTIF(G62,"breach")+COUNTIF(G63,"breach")+COUNTIF(G64,"breach")+COUNTIF(G65,"breach")+COUNTIF(G66,"breach")+COUNTIF(G67,"breach")+COUNTIF(G72,"breach")+COUNTIF(G73,"breach")+COUNTIF(G74,"breach")+COUNTIF(G75,"breach")</f>
        <v>8</v>
      </c>
      <c r="C86" s="41" t="s">
        <v>305</v>
      </c>
    </row>
    <row r="87" spans="1:3" ht="15" customHeight="1" x14ac:dyDescent="0.2">
      <c r="A87" s="41" t="s">
        <v>306</v>
      </c>
      <c r="B87" s="41">
        <f>COUNTIF(G23,"ok")+COUNTIF(G24,"ok")+COUNTIF(G25,"ok")+COUNTIF(G26,"ok")+COUNTIF(G27,"ok")+COUNTIF(G28,"ok")+COUNTIF(G29,"ok")+COUNTIF(G34,"ok")+COUNTIF(G35,"ok")+COUNTIF(G36,"ok")+COUNTIF(G37,"ok")+COUNTIF(G38,"ok")+COUNTIF(G39,"ok")+COUNTIF(G40,"ok")+COUNTIF(G41,"ok")+COUNTIF(G42,"ok")+COUNTIF(G59,"ok")+COUNTIF(G60,"ok")+COUNTIF(G61,"ok")+COUNTIF(G62,"ok")+COUNTIF(G63,"ok")+COUNTIF(G64,"ok")+COUNTIF(G65,"ok")+COUNTIF(G66,"ok")+COUNTIF(G67,"ok")+COUNTIF(G72,"ok")+COUNTIF(G73,"ok")+COUNTIF(G74,"ok")+COUNTIF(G75,"ok")</f>
        <v>17</v>
      </c>
    </row>
    <row r="88" spans="1:3" ht="15" customHeight="1" x14ac:dyDescent="0.2">
      <c r="A88" s="41" t="s">
        <v>307</v>
      </c>
      <c r="B88" s="41">
        <f>COUNTIF(G23,"exempt")+COUNTIF(G24,"exempt")+COUNTIF(G25,"exempt")+COUNTIF(G26,"exempt")+COUNTIF(G27,"exempt")+COUNTIF(G28,"exempt")+COUNTIF(G29,"exempt")+COUNTIF(G34,"exempt")+COUNTIF(G35,"exempt")+COUNTIF(G36,"exempt")+COUNTIF(G37,"exempt")+COUNTIF(G38,"exempt")+COUNTIF(G39,"exempt")+COUNTIF(G40,"exempt")+COUNTIF(G41,"exempt")+COUNTIF(G42,"exempt")+COUNTIF(G59,"exempt")+COUNTIF(G60,"exempt")+COUNTIF(G61,"exempt")+COUNTIF(G62,"exempt")+COUNTIF(G63,"exempt")+COUNTIF(G64,"exempt")+COUNTIF(G65,"exempt")+COUNTIF(G66,"exempt")+COUNTIF(G67,"exempt")+COUNTIF(G72,"exempt")+COUNTIF(G73,"exempt")+COUNTIF(G74,"exempt")+COUNTIF(G75,"exempt")</f>
        <v>4</v>
      </c>
    </row>
    <row r="89" spans="1:3" ht="15" customHeight="1" x14ac:dyDescent="0.2">
      <c r="A89" s="41" t="s">
        <v>308</v>
      </c>
      <c r="B89" s="41" t="s">
        <v>309</v>
      </c>
    </row>
    <row r="91" spans="1:3" ht="15" customHeight="1" x14ac:dyDescent="0.2">
      <c r="A91" s="41" t="s">
        <v>310</v>
      </c>
      <c r="B91" s="48"/>
      <c r="C91" s="41" t="s">
        <v>311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61"/>
  <sheetViews>
    <sheetView topLeftCell="A22" workbookViewId="0">
      <selection activeCell="B58" sqref="B58"/>
    </sheetView>
  </sheetViews>
  <sheetFormatPr baseColWidth="10" defaultColWidth="8.83203125" defaultRowHeight="15" x14ac:dyDescent="0.2"/>
  <cols>
    <col min="1" max="1" width="14" customWidth="1"/>
    <col min="2" max="11" width="13" customWidth="1"/>
  </cols>
  <sheetData>
    <row r="1" spans="1:7" x14ac:dyDescent="0.2">
      <c r="A1" s="49" t="s">
        <v>312</v>
      </c>
    </row>
    <row r="2" spans="1:7" x14ac:dyDescent="0.2">
      <c r="A2" t="s">
        <v>313</v>
      </c>
    </row>
    <row r="4" spans="1:7" x14ac:dyDescent="0.2">
      <c r="A4" s="49" t="s">
        <v>314</v>
      </c>
    </row>
    <row r="5" spans="1:7" x14ac:dyDescent="0.2">
      <c r="A5" s="49" t="s">
        <v>213</v>
      </c>
      <c r="B5" s="49" t="s">
        <v>290</v>
      </c>
      <c r="C5" s="49" t="s">
        <v>135</v>
      </c>
      <c r="D5" s="49" t="s">
        <v>138</v>
      </c>
      <c r="E5" s="49" t="s">
        <v>315</v>
      </c>
      <c r="F5" s="49" t="s">
        <v>316</v>
      </c>
      <c r="G5" s="49" t="s">
        <v>317</v>
      </c>
    </row>
    <row r="6" spans="1:7" x14ac:dyDescent="0.2">
      <c r="A6" s="50" t="s">
        <v>150</v>
      </c>
      <c r="B6" s="50" t="s">
        <v>318</v>
      </c>
      <c r="C6" s="50" t="s">
        <v>148</v>
      </c>
      <c r="D6" s="50">
        <v>100</v>
      </c>
      <c r="E6" s="50">
        <v>500</v>
      </c>
      <c r="F6" s="50">
        <v>0</v>
      </c>
      <c r="G6">
        <f t="shared" ref="G6:G14" si="0">IF(B6="buy",D6*E6+F6,D6*E6-F6)</f>
        <v>50000</v>
      </c>
    </row>
    <row r="7" spans="1:7" x14ac:dyDescent="0.2">
      <c r="A7" s="50" t="s">
        <v>153</v>
      </c>
      <c r="B7" s="50" t="s">
        <v>318</v>
      </c>
      <c r="C7" s="50" t="s">
        <v>151</v>
      </c>
      <c r="D7" s="50">
        <v>200</v>
      </c>
      <c r="E7" s="50">
        <v>200</v>
      </c>
      <c r="F7" s="50">
        <v>0</v>
      </c>
      <c r="G7">
        <f t="shared" si="0"/>
        <v>40000</v>
      </c>
    </row>
    <row r="8" spans="1:7" x14ac:dyDescent="0.2">
      <c r="A8" s="50" t="s">
        <v>155</v>
      </c>
      <c r="B8" s="50" t="s">
        <v>318</v>
      </c>
      <c r="C8" s="50" t="s">
        <v>154</v>
      </c>
      <c r="D8" s="50">
        <v>100</v>
      </c>
      <c r="E8" s="50">
        <v>400</v>
      </c>
      <c r="F8" s="50">
        <v>0</v>
      </c>
      <c r="G8">
        <f t="shared" si="0"/>
        <v>40000</v>
      </c>
    </row>
    <row r="9" spans="1:7" x14ac:dyDescent="0.2">
      <c r="A9" s="50" t="s">
        <v>158</v>
      </c>
      <c r="B9" s="50" t="s">
        <v>318</v>
      </c>
      <c r="C9" s="50" t="s">
        <v>156</v>
      </c>
      <c r="D9" s="50">
        <v>150</v>
      </c>
      <c r="E9" s="50">
        <v>150</v>
      </c>
      <c r="F9" s="50">
        <v>0</v>
      </c>
      <c r="G9">
        <f t="shared" si="0"/>
        <v>22500</v>
      </c>
    </row>
    <row r="10" spans="1:7" x14ac:dyDescent="0.2">
      <c r="A10" s="50" t="s">
        <v>161</v>
      </c>
      <c r="B10" s="50" t="s">
        <v>318</v>
      </c>
      <c r="C10" s="50" t="s">
        <v>159</v>
      </c>
      <c r="D10" s="50">
        <v>100</v>
      </c>
      <c r="E10" s="50">
        <v>200</v>
      </c>
      <c r="F10" s="50">
        <v>0</v>
      </c>
      <c r="G10">
        <f t="shared" si="0"/>
        <v>20000</v>
      </c>
    </row>
    <row r="11" spans="1:7" x14ac:dyDescent="0.2">
      <c r="A11" s="50" t="s">
        <v>164</v>
      </c>
      <c r="B11" s="50" t="s">
        <v>318</v>
      </c>
      <c r="C11" s="50" t="s">
        <v>162</v>
      </c>
      <c r="D11" s="50">
        <v>200</v>
      </c>
      <c r="E11" s="50">
        <v>75</v>
      </c>
      <c r="F11" s="50">
        <v>0</v>
      </c>
      <c r="G11">
        <f t="shared" si="0"/>
        <v>15000</v>
      </c>
    </row>
    <row r="12" spans="1:7" x14ac:dyDescent="0.2">
      <c r="A12" s="50" t="s">
        <v>167</v>
      </c>
      <c r="B12" s="50" t="s">
        <v>318</v>
      </c>
      <c r="C12" s="50" t="s">
        <v>165</v>
      </c>
      <c r="D12" s="50">
        <v>500</v>
      </c>
      <c r="E12" s="50">
        <v>90</v>
      </c>
      <c r="F12" s="50">
        <v>0</v>
      </c>
      <c r="G12">
        <f t="shared" si="0"/>
        <v>45000</v>
      </c>
    </row>
    <row r="13" spans="1:7" x14ac:dyDescent="0.2">
      <c r="A13" s="50" t="s">
        <v>170</v>
      </c>
      <c r="B13" s="50" t="s">
        <v>318</v>
      </c>
      <c r="C13" s="50" t="s">
        <v>168</v>
      </c>
      <c r="D13" s="50">
        <v>100</v>
      </c>
      <c r="E13" s="50">
        <v>250</v>
      </c>
      <c r="F13" s="50">
        <v>0</v>
      </c>
      <c r="G13">
        <f t="shared" si="0"/>
        <v>25000</v>
      </c>
    </row>
    <row r="14" spans="1:7" x14ac:dyDescent="0.2">
      <c r="A14" s="50" t="s">
        <v>173</v>
      </c>
      <c r="B14" s="50" t="s">
        <v>318</v>
      </c>
      <c r="C14" s="50" t="s">
        <v>171</v>
      </c>
      <c r="D14" s="50">
        <v>300</v>
      </c>
      <c r="E14" s="50">
        <v>90</v>
      </c>
      <c r="F14" s="50">
        <v>0</v>
      </c>
      <c r="G14">
        <f t="shared" si="0"/>
        <v>27000</v>
      </c>
    </row>
    <row r="15" spans="1:7" x14ac:dyDescent="0.2">
      <c r="F15" s="49" t="s">
        <v>319</v>
      </c>
      <c r="G15">
        <f>SUM(G6:G14)</f>
        <v>284500</v>
      </c>
    </row>
    <row r="17" spans="1:11" x14ac:dyDescent="0.2">
      <c r="A17" s="49" t="s">
        <v>320</v>
      </c>
    </row>
    <row r="18" spans="1:11" x14ac:dyDescent="0.2">
      <c r="A18" s="49" t="s">
        <v>135</v>
      </c>
      <c r="B18" s="49" t="s">
        <v>138</v>
      </c>
      <c r="C18" s="49" t="s">
        <v>321</v>
      </c>
      <c r="D18" s="49" t="s">
        <v>322</v>
      </c>
      <c r="E18" s="49" t="s">
        <v>323</v>
      </c>
      <c r="F18" s="49" t="s">
        <v>324</v>
      </c>
      <c r="G18" s="49" t="s">
        <v>325</v>
      </c>
    </row>
    <row r="19" spans="1:11" x14ac:dyDescent="0.2">
      <c r="A19" s="50" t="s">
        <v>148</v>
      </c>
      <c r="B19">
        <f t="shared" ref="B19:B27" si="1">SUMIFS($D$6:$D$14,$C$6:$C$14,A19,$B$6:$B$14,"buy")-SUMIFS($D$6:$D$14,$C$6:$C$14,A19,$B$6:$B$14,"sell")</f>
        <v>100</v>
      </c>
      <c r="C19">
        <f t="shared" ref="C19:C27" si="2">SUMIFS($G$6:$G$14,$C$6:$C$14,A19,$B$6:$B$14,"buy")</f>
        <v>50000</v>
      </c>
      <c r="D19">
        <f t="shared" ref="D19:D27" si="3">C19/B19</f>
        <v>500</v>
      </c>
      <c r="E19" t="str">
        <f t="shared" ref="E19:E27" si="4">INDEX($A$6:$A$14,MATCH(A19,$C$6:$C$14,0))</f>
        <v>2024-01-15</v>
      </c>
      <c r="F19">
        <f>Positions!F5</f>
        <v>50000</v>
      </c>
      <c r="G19">
        <f t="shared" ref="G19:G28" si="5">C19-F19</f>
        <v>0</v>
      </c>
    </row>
    <row r="20" spans="1:11" x14ac:dyDescent="0.2">
      <c r="A20" s="50" t="s">
        <v>151</v>
      </c>
      <c r="B20">
        <f t="shared" si="1"/>
        <v>200</v>
      </c>
      <c r="C20">
        <f t="shared" si="2"/>
        <v>40000</v>
      </c>
      <c r="D20">
        <f t="shared" si="3"/>
        <v>200</v>
      </c>
      <c r="E20" t="str">
        <f t="shared" si="4"/>
        <v>2024-02-20</v>
      </c>
      <c r="F20">
        <f>Positions!F6</f>
        <v>40000</v>
      </c>
      <c r="G20">
        <f t="shared" si="5"/>
        <v>0</v>
      </c>
    </row>
    <row r="21" spans="1:11" x14ac:dyDescent="0.2">
      <c r="A21" s="50" t="s">
        <v>154</v>
      </c>
      <c r="B21">
        <f t="shared" si="1"/>
        <v>100</v>
      </c>
      <c r="C21">
        <f t="shared" si="2"/>
        <v>40000</v>
      </c>
      <c r="D21">
        <f t="shared" si="3"/>
        <v>400</v>
      </c>
      <c r="E21" t="str">
        <f t="shared" si="4"/>
        <v>2024-03-18</v>
      </c>
      <c r="F21">
        <f>Positions!F7</f>
        <v>40000</v>
      </c>
      <c r="G21">
        <f t="shared" si="5"/>
        <v>0</v>
      </c>
    </row>
    <row r="22" spans="1:11" x14ac:dyDescent="0.2">
      <c r="A22" s="50" t="s">
        <v>156</v>
      </c>
      <c r="B22">
        <f t="shared" si="1"/>
        <v>150</v>
      </c>
      <c r="C22">
        <f t="shared" si="2"/>
        <v>22500</v>
      </c>
      <c r="D22">
        <f t="shared" si="3"/>
        <v>150</v>
      </c>
      <c r="E22" t="str">
        <f t="shared" si="4"/>
        <v>2024-05-06</v>
      </c>
      <c r="F22">
        <f>Positions!F8</f>
        <v>22500</v>
      </c>
      <c r="G22">
        <f t="shared" si="5"/>
        <v>0</v>
      </c>
    </row>
    <row r="23" spans="1:11" x14ac:dyDescent="0.2">
      <c r="A23" s="50" t="s">
        <v>159</v>
      </c>
      <c r="B23">
        <f t="shared" si="1"/>
        <v>100</v>
      </c>
      <c r="C23">
        <f t="shared" si="2"/>
        <v>20000</v>
      </c>
      <c r="D23">
        <f t="shared" si="3"/>
        <v>200</v>
      </c>
      <c r="E23" t="str">
        <f t="shared" si="4"/>
        <v>2024-07-15</v>
      </c>
      <c r="F23">
        <f>Positions!F9</f>
        <v>20000</v>
      </c>
      <c r="G23">
        <f t="shared" si="5"/>
        <v>0</v>
      </c>
    </row>
    <row r="24" spans="1:11" x14ac:dyDescent="0.2">
      <c r="A24" s="50" t="s">
        <v>162</v>
      </c>
      <c r="B24">
        <f t="shared" si="1"/>
        <v>200</v>
      </c>
      <c r="C24">
        <f t="shared" si="2"/>
        <v>15000</v>
      </c>
      <c r="D24">
        <f t="shared" si="3"/>
        <v>75</v>
      </c>
      <c r="E24" t="str">
        <f t="shared" si="4"/>
        <v>2024-09-09</v>
      </c>
      <c r="F24">
        <f>Positions!F10</f>
        <v>15000</v>
      </c>
      <c r="G24">
        <f t="shared" si="5"/>
        <v>0</v>
      </c>
    </row>
    <row r="25" spans="1:11" x14ac:dyDescent="0.2">
      <c r="A25" s="50" t="s">
        <v>165</v>
      </c>
      <c r="B25">
        <f t="shared" si="1"/>
        <v>500</v>
      </c>
      <c r="C25">
        <f t="shared" si="2"/>
        <v>45000</v>
      </c>
      <c r="D25">
        <f t="shared" si="3"/>
        <v>90</v>
      </c>
      <c r="E25" t="str">
        <f t="shared" si="4"/>
        <v>2025-01-13</v>
      </c>
      <c r="F25">
        <f>Positions!F11</f>
        <v>45000</v>
      </c>
      <c r="G25">
        <f t="shared" si="5"/>
        <v>0</v>
      </c>
    </row>
    <row r="26" spans="1:11" x14ac:dyDescent="0.2">
      <c r="A26" s="50" t="s">
        <v>168</v>
      </c>
      <c r="B26">
        <f t="shared" si="1"/>
        <v>100</v>
      </c>
      <c r="C26">
        <f t="shared" si="2"/>
        <v>25000</v>
      </c>
      <c r="D26">
        <f t="shared" si="3"/>
        <v>250</v>
      </c>
      <c r="E26" t="str">
        <f t="shared" si="4"/>
        <v>2025-03-10</v>
      </c>
      <c r="F26">
        <f>Positions!F12</f>
        <v>25000</v>
      </c>
      <c r="G26">
        <f t="shared" si="5"/>
        <v>0</v>
      </c>
    </row>
    <row r="27" spans="1:11" x14ac:dyDescent="0.2">
      <c r="A27" s="50" t="s">
        <v>171</v>
      </c>
      <c r="B27">
        <f t="shared" si="1"/>
        <v>300</v>
      </c>
      <c r="C27">
        <f t="shared" si="2"/>
        <v>27000</v>
      </c>
      <c r="D27">
        <f t="shared" si="3"/>
        <v>90</v>
      </c>
      <c r="E27" t="str">
        <f t="shared" si="4"/>
        <v>2025-06-02</v>
      </c>
      <c r="F27">
        <f>Positions!F13</f>
        <v>27000</v>
      </c>
      <c r="G27">
        <f t="shared" si="5"/>
        <v>0</v>
      </c>
    </row>
    <row r="28" spans="1:11" x14ac:dyDescent="0.2">
      <c r="B28" s="49" t="s">
        <v>319</v>
      </c>
      <c r="C28">
        <f>SUM(C19:C27)</f>
        <v>284500</v>
      </c>
      <c r="F28">
        <f>SUM(F19:F27)</f>
        <v>284500</v>
      </c>
      <c r="G28">
        <f t="shared" si="5"/>
        <v>0</v>
      </c>
    </row>
    <row r="30" spans="1:11" x14ac:dyDescent="0.2">
      <c r="A30" s="49" t="s">
        <v>326</v>
      </c>
    </row>
    <row r="31" spans="1:11" x14ac:dyDescent="0.2">
      <c r="A31" s="49" t="s">
        <v>213</v>
      </c>
      <c r="B31" s="49" t="s">
        <v>290</v>
      </c>
      <c r="C31" s="49" t="s">
        <v>138</v>
      </c>
      <c r="D31" s="49" t="s">
        <v>315</v>
      </c>
      <c r="E31" s="49" t="s">
        <v>316</v>
      </c>
      <c r="F31" s="49" t="s">
        <v>317</v>
      </c>
      <c r="G31" s="49" t="s">
        <v>327</v>
      </c>
      <c r="H31" s="49" t="s">
        <v>328</v>
      </c>
      <c r="I31" s="49" t="s">
        <v>329</v>
      </c>
      <c r="J31" s="49" t="s">
        <v>330</v>
      </c>
      <c r="K31" s="49" t="s">
        <v>331</v>
      </c>
    </row>
    <row r="32" spans="1:11" x14ac:dyDescent="0.2">
      <c r="A32" s="50" t="s">
        <v>164</v>
      </c>
      <c r="B32" s="50" t="s">
        <v>318</v>
      </c>
      <c r="C32" s="50">
        <v>200</v>
      </c>
      <c r="D32" s="50">
        <v>75</v>
      </c>
      <c r="E32" s="50">
        <v>0</v>
      </c>
      <c r="F32">
        <f>IF(B32="buy",C32*D32+E32,C32*D32-E32)</f>
        <v>15000</v>
      </c>
      <c r="G32">
        <f>IF(B32="buy",0+C32,0-C32)</f>
        <v>200</v>
      </c>
      <c r="H32">
        <f>IF(B32="buy",0+F32,0-J32)</f>
        <v>15000</v>
      </c>
      <c r="I32">
        <f>H32/G32</f>
        <v>75</v>
      </c>
      <c r="J32" t="str">
        <f>""</f>
        <v/>
      </c>
      <c r="K32" t="str">
        <f>IF(B32="sell",F32-J32,"")</f>
        <v/>
      </c>
    </row>
    <row r="33" spans="1:11" x14ac:dyDescent="0.2">
      <c r="A33" s="50" t="s">
        <v>332</v>
      </c>
      <c r="B33" s="50" t="s">
        <v>318</v>
      </c>
      <c r="C33" s="50">
        <v>100</v>
      </c>
      <c r="D33" s="50">
        <v>90</v>
      </c>
      <c r="E33" s="50">
        <v>3</v>
      </c>
      <c r="F33">
        <f>IF(B33="buy",C33*D33+E33,C33*D33-E33)</f>
        <v>9003</v>
      </c>
      <c r="G33">
        <f>IF(B33="buy",G32+C33,G32-C33)</f>
        <v>300</v>
      </c>
      <c r="H33">
        <f>IF(B33="buy",H32+F33,H32-J33)</f>
        <v>24003</v>
      </c>
      <c r="I33">
        <f>H33/G33</f>
        <v>80.010000000000005</v>
      </c>
      <c r="J33" t="str">
        <f>IF(B33="sell",C33*I32,"")</f>
        <v/>
      </c>
      <c r="K33" t="str">
        <f>IF(B33="sell",F33-J33,"")</f>
        <v/>
      </c>
    </row>
    <row r="34" spans="1:11" x14ac:dyDescent="0.2">
      <c r="A34" s="50" t="s">
        <v>333</v>
      </c>
      <c r="B34" s="50" t="s">
        <v>334</v>
      </c>
      <c r="C34" s="50">
        <v>50</v>
      </c>
      <c r="D34" s="50">
        <v>85</v>
      </c>
      <c r="E34" s="50">
        <v>2</v>
      </c>
      <c r="F34">
        <f>IF(B34="buy",C34*D34+E34,C34*D34-E34)</f>
        <v>4248</v>
      </c>
      <c r="G34">
        <f>IF(B34="buy",G33+C34,G33-C34)</f>
        <v>250</v>
      </c>
      <c r="H34">
        <f>IF(B34="buy",H33+F34,H33-J34)</f>
        <v>20002.5</v>
      </c>
      <c r="I34">
        <f>H34/G34</f>
        <v>80.010000000000005</v>
      </c>
      <c r="J34">
        <f>IF(B34="sell",C34*I33,"")</f>
        <v>4000.5000000000005</v>
      </c>
      <c r="K34">
        <f>IF(B34="sell",F34-J34,"")</f>
        <v>247.49999999999955</v>
      </c>
    </row>
    <row r="36" spans="1:11" x14ac:dyDescent="0.2">
      <c r="A36" t="s">
        <v>335</v>
      </c>
      <c r="B36" s="50">
        <v>88</v>
      </c>
    </row>
    <row r="37" spans="1:11" x14ac:dyDescent="0.2">
      <c r="A37" t="s">
        <v>336</v>
      </c>
      <c r="B37">
        <f>G34*B36</f>
        <v>22000</v>
      </c>
    </row>
    <row r="38" spans="1:11" x14ac:dyDescent="0.2">
      <c r="A38" t="s">
        <v>337</v>
      </c>
      <c r="B38">
        <f>B37-H34</f>
        <v>1997.5</v>
      </c>
    </row>
    <row r="39" spans="1:11" x14ac:dyDescent="0.2">
      <c r="A39" t="s">
        <v>144</v>
      </c>
      <c r="B39">
        <f>B38/H34</f>
        <v>9.9862517185351829E-2</v>
      </c>
    </row>
    <row r="41" spans="1:11" x14ac:dyDescent="0.2">
      <c r="A41" t="s">
        <v>338</v>
      </c>
    </row>
    <row r="43" spans="1:11" x14ac:dyDescent="0.2">
      <c r="A43" s="49" t="s">
        <v>339</v>
      </c>
    </row>
    <row r="44" spans="1:11" x14ac:dyDescent="0.2">
      <c r="A44" s="49" t="s">
        <v>213</v>
      </c>
      <c r="B44" s="49" t="s">
        <v>290</v>
      </c>
      <c r="C44" s="49" t="s">
        <v>138</v>
      </c>
      <c r="D44" s="49" t="s">
        <v>340</v>
      </c>
      <c r="E44" s="49" t="s">
        <v>341</v>
      </c>
      <c r="F44" s="49" t="s">
        <v>342</v>
      </c>
      <c r="G44" s="49" t="s">
        <v>343</v>
      </c>
    </row>
    <row r="45" spans="1:11" x14ac:dyDescent="0.2">
      <c r="A45" s="50" t="s">
        <v>153</v>
      </c>
      <c r="B45" s="50" t="s">
        <v>318</v>
      </c>
      <c r="C45" s="50">
        <v>100</v>
      </c>
      <c r="D45" s="50">
        <v>200</v>
      </c>
      <c r="E45" s="50">
        <v>0.92</v>
      </c>
      <c r="F45" s="50">
        <v>5</v>
      </c>
      <c r="G45">
        <f>IF(B45="buy",C45*D45*E45+F45,C45*D45*E45-F45)</f>
        <v>18405</v>
      </c>
    </row>
    <row r="47" spans="1:11" x14ac:dyDescent="0.2">
      <c r="A47" s="49" t="s">
        <v>344</v>
      </c>
    </row>
    <row r="48" spans="1:11" x14ac:dyDescent="0.2">
      <c r="A48" s="49" t="s">
        <v>138</v>
      </c>
      <c r="B48">
        <f>C45</f>
        <v>100</v>
      </c>
    </row>
    <row r="49" spans="1:3" x14ac:dyDescent="0.2">
      <c r="A49" s="49" t="s">
        <v>345</v>
      </c>
      <c r="B49">
        <f>G45</f>
        <v>18405</v>
      </c>
    </row>
    <row r="50" spans="1:3" x14ac:dyDescent="0.2">
      <c r="A50" s="49" t="s">
        <v>346</v>
      </c>
      <c r="B50">
        <f>B49/B48</f>
        <v>184.05</v>
      </c>
    </row>
    <row r="51" spans="1:3" x14ac:dyDescent="0.2">
      <c r="A51" s="49" t="s">
        <v>323</v>
      </c>
      <c r="B51" t="str">
        <f>A45</f>
        <v>2024-02-20</v>
      </c>
    </row>
    <row r="53" spans="1:3" x14ac:dyDescent="0.2">
      <c r="A53" s="49" t="s">
        <v>347</v>
      </c>
    </row>
    <row r="54" spans="1:3" x14ac:dyDescent="0.2">
      <c r="A54" s="49" t="s">
        <v>348</v>
      </c>
      <c r="B54">
        <f>Positions!G6</f>
        <v>324.95999999999998</v>
      </c>
      <c r="C54" t="s">
        <v>349</v>
      </c>
    </row>
    <row r="55" spans="1:3" x14ac:dyDescent="0.2">
      <c r="A55" s="49" t="s">
        <v>350</v>
      </c>
      <c r="B55" s="50">
        <v>0.85</v>
      </c>
      <c r="C55" t="s">
        <v>351</v>
      </c>
    </row>
    <row r="56" spans="1:3" x14ac:dyDescent="0.2">
      <c r="A56" s="49" t="s">
        <v>352</v>
      </c>
      <c r="B56">
        <f>B48*B54*B55</f>
        <v>27621.599999999995</v>
      </c>
    </row>
    <row r="57" spans="1:3" x14ac:dyDescent="0.2">
      <c r="A57" s="49" t="s">
        <v>353</v>
      </c>
      <c r="B57">
        <f>B56-B49</f>
        <v>9216.5999999999949</v>
      </c>
    </row>
    <row r="58" spans="1:3" x14ac:dyDescent="0.2">
      <c r="A58" s="49" t="s">
        <v>144</v>
      </c>
      <c r="B58">
        <f>B57/B49</f>
        <v>0.50076609616951884</v>
      </c>
    </row>
    <row r="59" spans="1:3" x14ac:dyDescent="0.2">
      <c r="A59" s="49" t="s">
        <v>354</v>
      </c>
      <c r="B59">
        <f>(B48*B54-B48*D45)/(B48*D45)</f>
        <v>0.6247999999999998</v>
      </c>
      <c r="C59" t="s">
        <v>355</v>
      </c>
    </row>
    <row r="61" spans="1:3" x14ac:dyDescent="0.2">
      <c r="A61" t="s">
        <v>356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4"/>
  <sheetViews>
    <sheetView workbookViewId="0">
      <selection activeCell="G28" sqref="G28"/>
    </sheetView>
  </sheetViews>
  <sheetFormatPr baseColWidth="10" defaultColWidth="8.83203125" defaultRowHeight="15" x14ac:dyDescent="0.2"/>
  <cols>
    <col min="1" max="1" width="10" customWidth="1"/>
    <col min="2" max="2" width="20" customWidth="1"/>
    <col min="3" max="4" width="18" customWidth="1"/>
    <col min="5" max="6" width="20" customWidth="1"/>
    <col min="7" max="7" width="22" customWidth="1"/>
    <col min="8" max="8" width="32" customWidth="1"/>
  </cols>
  <sheetData>
    <row r="1" spans="1:5" x14ac:dyDescent="0.2">
      <c r="A1" s="49" t="s">
        <v>357</v>
      </c>
    </row>
    <row r="2" spans="1:5" x14ac:dyDescent="0.2">
      <c r="A2" t="s">
        <v>358</v>
      </c>
    </row>
    <row r="4" spans="1:5" x14ac:dyDescent="0.2">
      <c r="A4" s="49" t="s">
        <v>359</v>
      </c>
    </row>
    <row r="5" spans="1:5" x14ac:dyDescent="0.2">
      <c r="A5" s="49" t="s">
        <v>135</v>
      </c>
      <c r="B5" s="49" t="s">
        <v>360</v>
      </c>
      <c r="C5" s="49" t="s">
        <v>361</v>
      </c>
      <c r="D5" s="49" t="s">
        <v>325</v>
      </c>
      <c r="E5" s="49" t="s">
        <v>362</v>
      </c>
    </row>
    <row r="6" spans="1:5" x14ac:dyDescent="0.2">
      <c r="A6" t="s">
        <v>148</v>
      </c>
      <c r="B6" s="50">
        <v>765.16</v>
      </c>
      <c r="C6">
        <f>Positions!G5</f>
        <v>765.16</v>
      </c>
      <c r="D6">
        <f t="shared" ref="D6:D14" si="0">ROUND(C6,2)-ROUND(B6,2)</f>
        <v>0</v>
      </c>
      <c r="E6" t="str">
        <f t="shared" ref="E6:E14" si="1">IF(ABS(D6)&lt;0.005,"agrees","DISAGREES")</f>
        <v>agrees</v>
      </c>
    </row>
    <row r="7" spans="1:5" x14ac:dyDescent="0.2">
      <c r="A7" t="s">
        <v>151</v>
      </c>
      <c r="B7" s="50">
        <v>324.95999999999998</v>
      </c>
      <c r="C7">
        <f>Positions!G6</f>
        <v>324.95999999999998</v>
      </c>
      <c r="D7">
        <f t="shared" si="0"/>
        <v>0</v>
      </c>
      <c r="E7" t="str">
        <f t="shared" si="1"/>
        <v>agrees</v>
      </c>
    </row>
    <row r="8" spans="1:5" x14ac:dyDescent="0.2">
      <c r="A8" t="s">
        <v>154</v>
      </c>
      <c r="B8" s="50">
        <v>496.82</v>
      </c>
      <c r="C8">
        <f>Positions!G7</f>
        <v>496.82</v>
      </c>
      <c r="D8">
        <f t="shared" si="0"/>
        <v>0</v>
      </c>
      <c r="E8" t="str">
        <f t="shared" si="1"/>
        <v>agrees</v>
      </c>
    </row>
    <row r="9" spans="1:5" x14ac:dyDescent="0.2">
      <c r="A9" t="s">
        <v>156</v>
      </c>
      <c r="B9" s="50">
        <v>275.20999999999998</v>
      </c>
      <c r="C9">
        <f>Positions!G8</f>
        <v>275.20999999999998</v>
      </c>
      <c r="D9">
        <f t="shared" si="0"/>
        <v>0</v>
      </c>
      <c r="E9" t="str">
        <f t="shared" si="1"/>
        <v>agrees</v>
      </c>
    </row>
    <row r="10" spans="1:5" x14ac:dyDescent="0.2">
      <c r="A10" t="s">
        <v>159</v>
      </c>
      <c r="B10" s="50">
        <v>356.22</v>
      </c>
      <c r="C10">
        <f>Positions!G9</f>
        <v>356.22</v>
      </c>
      <c r="D10">
        <f t="shared" si="0"/>
        <v>0</v>
      </c>
      <c r="E10" t="str">
        <f t="shared" si="1"/>
        <v>agrees</v>
      </c>
    </row>
    <row r="11" spans="1:5" x14ac:dyDescent="0.2">
      <c r="A11" t="s">
        <v>162</v>
      </c>
      <c r="B11" s="50">
        <v>83.1</v>
      </c>
      <c r="C11">
        <f>Positions!G10</f>
        <v>83.1</v>
      </c>
      <c r="D11">
        <f t="shared" si="0"/>
        <v>0</v>
      </c>
      <c r="E11" t="str">
        <f t="shared" si="1"/>
        <v>agrees</v>
      </c>
    </row>
    <row r="12" spans="1:5" x14ac:dyDescent="0.2">
      <c r="A12" t="s">
        <v>165</v>
      </c>
      <c r="B12" s="50">
        <v>81.95</v>
      </c>
      <c r="C12">
        <f>Positions!G11</f>
        <v>81.95</v>
      </c>
      <c r="D12">
        <f t="shared" si="0"/>
        <v>0</v>
      </c>
      <c r="E12" t="str">
        <f t="shared" si="1"/>
        <v>agrees</v>
      </c>
    </row>
    <row r="13" spans="1:5" x14ac:dyDescent="0.2">
      <c r="A13" t="s">
        <v>168</v>
      </c>
      <c r="B13" s="50">
        <v>402.78</v>
      </c>
      <c r="C13">
        <f>Positions!G12</f>
        <v>402.78</v>
      </c>
      <c r="D13">
        <f t="shared" si="0"/>
        <v>0</v>
      </c>
      <c r="E13" t="str">
        <f t="shared" si="1"/>
        <v>agrees</v>
      </c>
    </row>
    <row r="14" spans="1:5" x14ac:dyDescent="0.2">
      <c r="A14" t="s">
        <v>171</v>
      </c>
      <c r="B14" s="50">
        <v>95.78</v>
      </c>
      <c r="C14">
        <f>Positions!G13</f>
        <v>95.78</v>
      </c>
      <c r="D14">
        <f t="shared" si="0"/>
        <v>0</v>
      </c>
      <c r="E14" t="str">
        <f t="shared" si="1"/>
        <v>agrees</v>
      </c>
    </row>
    <row r="15" spans="1:5" x14ac:dyDescent="0.2">
      <c r="A15" t="s">
        <v>363</v>
      </c>
      <c r="B15">
        <f>COUNTIF(E6:E14,"agrees")</f>
        <v>9</v>
      </c>
      <c r="C15" t="s">
        <v>364</v>
      </c>
    </row>
    <row r="17" spans="1:8" x14ac:dyDescent="0.2">
      <c r="A17" s="49" t="s">
        <v>365</v>
      </c>
    </row>
    <row r="18" spans="1:8" x14ac:dyDescent="0.2">
      <c r="A18" s="49" t="s">
        <v>135</v>
      </c>
      <c r="B18" s="49" t="s">
        <v>213</v>
      </c>
      <c r="C18" s="49" t="s">
        <v>366</v>
      </c>
      <c r="D18" s="49" t="s">
        <v>367</v>
      </c>
      <c r="E18" s="49" t="s">
        <v>368</v>
      </c>
      <c r="F18" s="49" t="s">
        <v>369</v>
      </c>
      <c r="G18" s="49" t="s">
        <v>370</v>
      </c>
      <c r="H18" s="49" t="s">
        <v>362</v>
      </c>
    </row>
    <row r="19" spans="1:8" x14ac:dyDescent="0.2">
      <c r="A19" t="s">
        <v>156</v>
      </c>
      <c r="B19" t="s">
        <v>371</v>
      </c>
      <c r="C19" s="50">
        <v>270.24</v>
      </c>
      <c r="D19" s="50">
        <v>270.24</v>
      </c>
      <c r="E19" s="50">
        <v>268.91370000000001</v>
      </c>
      <c r="F19">
        <f>ROUND(D19,2)-ROUND(C19,2)</f>
        <v>0</v>
      </c>
      <c r="G19">
        <f>ROUND(E19,2)-ROUND(C19,2)</f>
        <v>-1.3299999999999841</v>
      </c>
      <c r="H19" t="str">
        <f>IF(ABS(G19)&lt;0.005,"database agrees",IF(ABS(F19)&lt;0.005,"database wrong, series is the print","both differ"))</f>
        <v>database wrong, series is the print</v>
      </c>
    </row>
    <row r="20" spans="1:8" x14ac:dyDescent="0.2">
      <c r="A20" t="s">
        <v>165</v>
      </c>
      <c r="B20" t="s">
        <v>372</v>
      </c>
      <c r="C20" s="50">
        <v>82.88</v>
      </c>
      <c r="D20" s="50">
        <v>82.88</v>
      </c>
      <c r="E20" s="50">
        <v>82.563599999999994</v>
      </c>
      <c r="F20">
        <f>ROUND(D20,2)-ROUND(C20,2)</f>
        <v>0</v>
      </c>
      <c r="G20">
        <f>ROUND(E20,2)-ROUND(C20,2)</f>
        <v>-0.31999999999999318</v>
      </c>
      <c r="H20" t="str">
        <f>IF(ABS(G20)&lt;0.005,"database agrees",IF(ABS(F20)&lt;0.005,"database wrong, series is the print","both differ"))</f>
        <v>database wrong, series is the print</v>
      </c>
    </row>
    <row r="22" spans="1:8" x14ac:dyDescent="0.2">
      <c r="A22" t="s">
        <v>373</v>
      </c>
    </row>
    <row r="24" spans="1:8" x14ac:dyDescent="0.2">
      <c r="A24" t="s">
        <v>374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1"/>
  <sheetViews>
    <sheetView tabSelected="1" zoomScale="99" workbookViewId="0">
      <selection activeCell="J23" sqref="J23"/>
    </sheetView>
  </sheetViews>
  <sheetFormatPr baseColWidth="10" defaultColWidth="8.83203125" defaultRowHeight="15" x14ac:dyDescent="0.2"/>
  <cols>
    <col min="1" max="1" width="34" customWidth="1"/>
    <col min="2" max="2" width="30" customWidth="1"/>
    <col min="3" max="3" width="18" customWidth="1"/>
    <col min="4" max="5" width="16" customWidth="1"/>
    <col min="6" max="7" width="10" customWidth="1"/>
    <col min="8" max="8" width="18" customWidth="1"/>
    <col min="9" max="12" width="10" customWidth="1"/>
  </cols>
  <sheetData>
    <row r="1" spans="1:13" x14ac:dyDescent="0.2">
      <c r="A1" s="40" t="s">
        <v>0</v>
      </c>
    </row>
    <row r="2" spans="1:13" x14ac:dyDescent="0.2">
      <c r="A2" t="s">
        <v>1</v>
      </c>
    </row>
    <row r="3" spans="1:13" x14ac:dyDescent="0.2">
      <c r="A3" t="s">
        <v>2</v>
      </c>
    </row>
    <row r="4" spans="1:13" x14ac:dyDescent="0.2">
      <c r="A4" t="s">
        <v>3</v>
      </c>
    </row>
    <row r="6" spans="1:13" x14ac:dyDescent="0.2">
      <c r="A6" s="40" t="s">
        <v>4</v>
      </c>
    </row>
    <row r="7" spans="1:13" x14ac:dyDescent="0.2">
      <c r="A7" s="40" t="s">
        <v>5</v>
      </c>
      <c r="B7" s="40" t="s">
        <v>6</v>
      </c>
      <c r="C7" s="40" t="s">
        <v>7</v>
      </c>
      <c r="D7" s="40" t="s">
        <v>8</v>
      </c>
      <c r="E7" s="40" t="s">
        <v>9</v>
      </c>
      <c r="F7" s="40" t="s">
        <v>10</v>
      </c>
      <c r="G7" s="40" t="s">
        <v>11</v>
      </c>
      <c r="H7" s="40" t="s">
        <v>12</v>
      </c>
      <c r="I7" s="40" t="s">
        <v>13</v>
      </c>
      <c r="J7" s="40" t="s">
        <v>14</v>
      </c>
      <c r="K7" s="40" t="s">
        <v>15</v>
      </c>
      <c r="L7" s="40" t="s">
        <v>16</v>
      </c>
      <c r="M7" s="40" t="s">
        <v>17</v>
      </c>
    </row>
    <row r="8" spans="1:13" x14ac:dyDescent="0.2">
      <c r="A8" t="s">
        <v>18</v>
      </c>
      <c r="B8" t="s">
        <v>19</v>
      </c>
      <c r="C8" s="40" t="s">
        <v>20</v>
      </c>
      <c r="F8" s="40">
        <v>20000</v>
      </c>
      <c r="G8" s="40">
        <v>0.2</v>
      </c>
      <c r="K8" s="40">
        <v>120000</v>
      </c>
      <c r="L8" s="40">
        <v>20000</v>
      </c>
      <c r="M8" s="40">
        <v>40000</v>
      </c>
    </row>
    <row r="9" spans="1:13" x14ac:dyDescent="0.2">
      <c r="A9" t="s">
        <v>21</v>
      </c>
      <c r="B9" t="s">
        <v>22</v>
      </c>
      <c r="C9" s="40" t="s">
        <v>23</v>
      </c>
      <c r="F9" s="40">
        <v>13500</v>
      </c>
      <c r="G9" s="40">
        <v>0.2</v>
      </c>
      <c r="K9" s="40">
        <v>128000</v>
      </c>
      <c r="L9" s="40">
        <v>22000</v>
      </c>
      <c r="M9" s="40">
        <v>42000</v>
      </c>
    </row>
    <row r="10" spans="1:13" x14ac:dyDescent="0.2">
      <c r="A10" t="s">
        <v>24</v>
      </c>
      <c r="B10" t="s">
        <v>25</v>
      </c>
      <c r="C10" s="40" t="s">
        <v>26</v>
      </c>
      <c r="D10" s="40">
        <v>100000</v>
      </c>
      <c r="E10" s="40">
        <v>55000</v>
      </c>
      <c r="F10" s="40">
        <v>24000</v>
      </c>
      <c r="G10" s="40">
        <v>0.2</v>
      </c>
      <c r="K10" s="40">
        <v>140000</v>
      </c>
      <c r="L10" s="40">
        <v>20000</v>
      </c>
      <c r="M10" s="40">
        <v>40000</v>
      </c>
    </row>
    <row r="11" spans="1:13" x14ac:dyDescent="0.2">
      <c r="A11" t="s">
        <v>27</v>
      </c>
      <c r="B11" t="s">
        <v>28</v>
      </c>
      <c r="C11" s="40" t="s">
        <v>29</v>
      </c>
      <c r="D11" s="40">
        <v>112000</v>
      </c>
      <c r="E11" s="40">
        <v>63840</v>
      </c>
      <c r="F11" s="40">
        <v>30000</v>
      </c>
      <c r="G11" s="40">
        <v>0.2</v>
      </c>
      <c r="K11" s="40">
        <v>150000</v>
      </c>
      <c r="L11" s="40">
        <v>18000</v>
      </c>
      <c r="M11" s="40">
        <v>43000</v>
      </c>
    </row>
    <row r="12" spans="1:13" x14ac:dyDescent="0.2">
      <c r="A12" t="s">
        <v>30</v>
      </c>
      <c r="B12" t="s">
        <v>31</v>
      </c>
      <c r="C12" s="40" t="s">
        <v>32</v>
      </c>
      <c r="D12" s="40">
        <v>125000</v>
      </c>
      <c r="E12" s="40">
        <v>72500</v>
      </c>
      <c r="F12" s="40">
        <v>36000</v>
      </c>
      <c r="G12" s="40">
        <v>0.2</v>
      </c>
      <c r="H12" s="40">
        <v>16000</v>
      </c>
      <c r="I12" s="40">
        <v>52780</v>
      </c>
      <c r="J12" s="40">
        <v>22000</v>
      </c>
      <c r="K12" s="40">
        <v>170000</v>
      </c>
      <c r="L12" s="40">
        <v>16000</v>
      </c>
      <c r="M12" s="40">
        <v>42000</v>
      </c>
    </row>
    <row r="14" spans="1:13" x14ac:dyDescent="0.2">
      <c r="A14" t="s">
        <v>33</v>
      </c>
      <c r="B14" s="40">
        <v>4000</v>
      </c>
    </row>
    <row r="15" spans="1:13" x14ac:dyDescent="0.2">
      <c r="A15" t="s">
        <v>34</v>
      </c>
      <c r="B15" s="40">
        <v>171</v>
      </c>
    </row>
    <row r="16" spans="1:13" x14ac:dyDescent="0.2">
      <c r="A16" t="s">
        <v>35</v>
      </c>
      <c r="B16" s="40">
        <v>180</v>
      </c>
    </row>
    <row r="17" spans="1:5" x14ac:dyDescent="0.2">
      <c r="A17" t="s">
        <v>36</v>
      </c>
      <c r="B17" s="40">
        <v>240</v>
      </c>
    </row>
    <row r="19" spans="1:5" x14ac:dyDescent="0.2">
      <c r="A19" s="40" t="s">
        <v>37</v>
      </c>
    </row>
    <row r="20" spans="1:5" x14ac:dyDescent="0.2">
      <c r="A20" s="40" t="s">
        <v>5</v>
      </c>
      <c r="B20" s="40" t="s">
        <v>38</v>
      </c>
      <c r="C20" s="40" t="s">
        <v>39</v>
      </c>
      <c r="D20" s="40" t="s">
        <v>40</v>
      </c>
      <c r="E20" s="40" t="s">
        <v>41</v>
      </c>
    </row>
    <row r="21" spans="1:5" x14ac:dyDescent="0.2">
      <c r="A21" t="str">
        <f>A8</f>
        <v>FY2021</v>
      </c>
      <c r="B21">
        <f>K8+L8-M8</f>
        <v>100000</v>
      </c>
      <c r="C21">
        <f>F8*(1-G8)</f>
        <v>16000</v>
      </c>
      <c r="D21">
        <f>C21/B21</f>
        <v>0.16</v>
      </c>
    </row>
    <row r="22" spans="1:5" x14ac:dyDescent="0.2">
      <c r="A22" t="str">
        <f>A9</f>
        <v>FY2022</v>
      </c>
      <c r="B22">
        <f>K9+L9-M9</f>
        <v>108000</v>
      </c>
      <c r="C22">
        <f>F9*(1-G9)</f>
        <v>10800</v>
      </c>
      <c r="D22">
        <f>C22/B22</f>
        <v>0.1</v>
      </c>
    </row>
    <row r="23" spans="1:5" x14ac:dyDescent="0.2">
      <c r="A23" t="str">
        <f>A10</f>
        <v>FY2023</v>
      </c>
      <c r="B23">
        <f>K10+L10-M10</f>
        <v>120000</v>
      </c>
      <c r="C23">
        <f>F10*(1-G10)</f>
        <v>19200</v>
      </c>
      <c r="D23">
        <f>C23/B23</f>
        <v>0.16</v>
      </c>
      <c r="E23">
        <f>E10/D10</f>
        <v>0.55000000000000004</v>
      </c>
    </row>
    <row r="24" spans="1:5" x14ac:dyDescent="0.2">
      <c r="A24" t="str">
        <f>A11</f>
        <v>FY2024</v>
      </c>
      <c r="B24">
        <f>K11+L11-M11</f>
        <v>125000</v>
      </c>
      <c r="C24">
        <f>F11*(1-G11)</f>
        <v>24000</v>
      </c>
      <c r="D24">
        <f>C24/B24</f>
        <v>0.192</v>
      </c>
      <c r="E24">
        <f>E11/D11</f>
        <v>0.56999999999999995</v>
      </c>
    </row>
    <row r="25" spans="1:5" x14ac:dyDescent="0.2">
      <c r="A25" t="str">
        <f>A12</f>
        <v>FY2025</v>
      </c>
      <c r="B25">
        <f>K12+L12-M12</f>
        <v>144000</v>
      </c>
      <c r="C25">
        <f>F12*(1-G12)</f>
        <v>28800</v>
      </c>
      <c r="D25">
        <f>C25/B25</f>
        <v>0.2</v>
      </c>
      <c r="E25">
        <f>E12/D12</f>
        <v>0.57999999999999996</v>
      </c>
    </row>
    <row r="27" spans="1:5" x14ac:dyDescent="0.2">
      <c r="A27" t="s">
        <v>42</v>
      </c>
      <c r="B27">
        <f>L12-M12</f>
        <v>-26000</v>
      </c>
    </row>
    <row r="28" spans="1:5" x14ac:dyDescent="0.2">
      <c r="A28" t="s">
        <v>43</v>
      </c>
      <c r="B28">
        <f>F12+H12</f>
        <v>52000</v>
      </c>
    </row>
    <row r="29" spans="1:5" x14ac:dyDescent="0.2">
      <c r="A29" t="s">
        <v>44</v>
      </c>
      <c r="B29">
        <f>B27/B28</f>
        <v>-0.5</v>
      </c>
    </row>
    <row r="30" spans="1:5" x14ac:dyDescent="0.2">
      <c r="A30" t="s">
        <v>45</v>
      </c>
      <c r="B30">
        <f>I12-J12</f>
        <v>30780</v>
      </c>
    </row>
    <row r="31" spans="1:5" x14ac:dyDescent="0.2">
      <c r="A31" t="s">
        <v>46</v>
      </c>
      <c r="B31">
        <f>B15*B14</f>
        <v>684000</v>
      </c>
    </row>
    <row r="32" spans="1:5" x14ac:dyDescent="0.2">
      <c r="A32" t="s">
        <v>47</v>
      </c>
      <c r="B32">
        <f>B30/B31</f>
        <v>4.4999999999999998E-2</v>
      </c>
    </row>
    <row r="33" spans="1:9" x14ac:dyDescent="0.2">
      <c r="A33" t="s">
        <v>48</v>
      </c>
      <c r="B33">
        <f>1-B15/B16</f>
        <v>5.0000000000000044E-2</v>
      </c>
    </row>
    <row r="35" spans="1:9" x14ac:dyDescent="0.2">
      <c r="A35" s="40" t="s">
        <v>49</v>
      </c>
    </row>
    <row r="36" spans="1:9" x14ac:dyDescent="0.2">
      <c r="A36" s="40" t="s">
        <v>50</v>
      </c>
      <c r="B36" s="40" t="s">
        <v>51</v>
      </c>
      <c r="C36" s="40" t="s">
        <v>52</v>
      </c>
      <c r="D36" s="40" t="s">
        <v>53</v>
      </c>
      <c r="E36" s="40" t="s">
        <v>54</v>
      </c>
      <c r="F36" s="40" t="s">
        <v>55</v>
      </c>
    </row>
    <row r="37" spans="1:9" x14ac:dyDescent="0.2">
      <c r="A37" t="s">
        <v>56</v>
      </c>
      <c r="B37" t="s">
        <v>57</v>
      </c>
      <c r="C37" t="s">
        <v>58</v>
      </c>
      <c r="D37" s="40">
        <v>0.12</v>
      </c>
      <c r="E37" s="40">
        <v>5</v>
      </c>
      <c r="F37" t="s">
        <v>59</v>
      </c>
    </row>
    <row r="38" spans="1:9" x14ac:dyDescent="0.2">
      <c r="A38" t="s">
        <v>60</v>
      </c>
      <c r="B38" t="s">
        <v>61</v>
      </c>
      <c r="C38" t="s">
        <v>58</v>
      </c>
      <c r="D38" s="40">
        <v>0.35</v>
      </c>
      <c r="E38" s="40">
        <v>3</v>
      </c>
      <c r="F38" t="s">
        <v>59</v>
      </c>
    </row>
    <row r="39" spans="1:9" x14ac:dyDescent="0.2">
      <c r="A39" t="s">
        <v>62</v>
      </c>
      <c r="B39" t="s">
        <v>44</v>
      </c>
      <c r="C39" t="s">
        <v>63</v>
      </c>
      <c r="D39" s="40">
        <v>2</v>
      </c>
      <c r="E39" s="40">
        <v>1</v>
      </c>
      <c r="F39" t="s">
        <v>59</v>
      </c>
    </row>
    <row r="40" spans="1:9" x14ac:dyDescent="0.2">
      <c r="A40" t="s">
        <v>64</v>
      </c>
      <c r="B40" t="s">
        <v>65</v>
      </c>
      <c r="C40" t="s">
        <v>58</v>
      </c>
      <c r="D40" s="40">
        <v>0.25</v>
      </c>
      <c r="F40" t="s">
        <v>59</v>
      </c>
    </row>
    <row r="41" spans="1:9" x14ac:dyDescent="0.2">
      <c r="A41" t="s">
        <v>66</v>
      </c>
      <c r="B41" t="s">
        <v>47</v>
      </c>
      <c r="C41" t="s">
        <v>58</v>
      </c>
      <c r="D41" s="40">
        <v>0.04</v>
      </c>
      <c r="E41" s="40">
        <v>1</v>
      </c>
      <c r="F41" t="s">
        <v>59</v>
      </c>
    </row>
    <row r="43" spans="1:9" x14ac:dyDescent="0.2">
      <c r="A43" s="40" t="s">
        <v>67</v>
      </c>
    </row>
    <row r="44" spans="1:9" x14ac:dyDescent="0.2">
      <c r="A44" s="40" t="s">
        <v>50</v>
      </c>
      <c r="B44" s="40" t="s">
        <v>51</v>
      </c>
      <c r="C44" s="40" t="s">
        <v>68</v>
      </c>
      <c r="D44" s="40" t="s">
        <v>69</v>
      </c>
      <c r="E44" s="40" t="s">
        <v>70</v>
      </c>
      <c r="F44" s="40" t="s">
        <v>53</v>
      </c>
      <c r="G44" s="40" t="s">
        <v>52</v>
      </c>
      <c r="H44" s="40" t="s">
        <v>71</v>
      </c>
      <c r="I44" s="40" t="s">
        <v>72</v>
      </c>
    </row>
    <row r="45" spans="1:9" x14ac:dyDescent="0.2">
      <c r="A45" t="str">
        <f t="shared" ref="A45:B49" si="0">A37</f>
        <v>PHI-2.1</v>
      </c>
      <c r="B45" t="str">
        <f t="shared" si="0"/>
        <v>return_on_invested_capital</v>
      </c>
      <c r="C45" t="s">
        <v>73</v>
      </c>
      <c r="D45" t="str">
        <f>INDEX(A21:A25,MATCH(MIN(D21:D25),D21:D25,0))</f>
        <v>FY2022</v>
      </c>
      <c r="E45">
        <f>MIN(D21:D25)</f>
        <v>0.1</v>
      </c>
      <c r="F45">
        <f>D37</f>
        <v>0.12</v>
      </c>
      <c r="G45" t="str">
        <f>C37</f>
        <v>min</v>
      </c>
      <c r="H45" t="str">
        <f>IF(E45&lt;F45,"fail","pass")</f>
        <v>fail</v>
      </c>
      <c r="I45">
        <f>F45-E45</f>
        <v>1.999999999999999E-2</v>
      </c>
    </row>
    <row r="46" spans="1:9" x14ac:dyDescent="0.2">
      <c r="A46" t="str">
        <f t="shared" si="0"/>
        <v>PHI-2.2</v>
      </c>
      <c r="B46" t="str">
        <f t="shared" si="0"/>
        <v>gross_margin</v>
      </c>
      <c r="C46" t="s">
        <v>74</v>
      </c>
      <c r="D46" t="str">
        <f>INDEX(A23:A25,MATCH(MIN(E23:E25),E23:E25,0))</f>
        <v>FY2023</v>
      </c>
      <c r="E46">
        <f>MIN(E23:E25)</f>
        <v>0.55000000000000004</v>
      </c>
      <c r="F46">
        <f>D38</f>
        <v>0.35</v>
      </c>
      <c r="G46" t="str">
        <f>C38</f>
        <v>min</v>
      </c>
      <c r="H46" t="str">
        <f>IF(E46&lt;F46,"fail","pass")</f>
        <v>pass</v>
      </c>
      <c r="I46">
        <f>F46-E46</f>
        <v>-0.20000000000000007</v>
      </c>
    </row>
    <row r="47" spans="1:9" x14ac:dyDescent="0.2">
      <c r="A47" t="str">
        <f t="shared" si="0"/>
        <v>PHI-3.1</v>
      </c>
      <c r="B47" t="str">
        <f t="shared" si="0"/>
        <v>net_debt_to_ebitda</v>
      </c>
      <c r="C47" t="s">
        <v>30</v>
      </c>
      <c r="D47" t="s">
        <v>30</v>
      </c>
      <c r="E47">
        <f>B29</f>
        <v>-0.5</v>
      </c>
      <c r="F47">
        <f>D39</f>
        <v>2</v>
      </c>
      <c r="G47" t="str">
        <f>C39</f>
        <v>max</v>
      </c>
      <c r="H47" t="str">
        <f>IF(E47&gt;F47,"fail","pass")</f>
        <v>pass</v>
      </c>
      <c r="I47">
        <f>E47-F47</f>
        <v>-2.5</v>
      </c>
    </row>
    <row r="48" spans="1:9" x14ac:dyDescent="0.2">
      <c r="A48" t="str">
        <f t="shared" si="0"/>
        <v>PHI-4.1</v>
      </c>
      <c r="B48" t="str">
        <f t="shared" si="0"/>
        <v>discount to the low end of the range</v>
      </c>
      <c r="C48" t="s">
        <v>75</v>
      </c>
      <c r="E48">
        <f>B33</f>
        <v>5.0000000000000044E-2</v>
      </c>
      <c r="F48">
        <f>D40</f>
        <v>0.25</v>
      </c>
      <c r="G48" t="str">
        <f>C40</f>
        <v>min</v>
      </c>
      <c r="H48" t="str">
        <f>IF(E48&lt;F48,"fail","pass")</f>
        <v>fail</v>
      </c>
      <c r="I48">
        <f>F48-E48</f>
        <v>0.19999999999999996</v>
      </c>
    </row>
    <row r="49" spans="1:9" x14ac:dyDescent="0.2">
      <c r="A49" t="str">
        <f t="shared" si="0"/>
        <v>PHI-4.2</v>
      </c>
      <c r="B49" t="str">
        <f t="shared" si="0"/>
        <v>free_cash_flow_yield</v>
      </c>
      <c r="C49" t="s">
        <v>30</v>
      </c>
      <c r="D49" t="s">
        <v>30</v>
      </c>
      <c r="E49">
        <f>B32</f>
        <v>4.4999999999999998E-2</v>
      </c>
      <c r="F49">
        <f>D41</f>
        <v>0.04</v>
      </c>
      <c r="G49" t="str">
        <f>C41</f>
        <v>min</v>
      </c>
      <c r="H49" t="str">
        <f>IF(E49&lt;F49,"fail","pass")</f>
        <v>pass</v>
      </c>
      <c r="I49">
        <f>F49-E49</f>
        <v>-4.9999999999999975E-3</v>
      </c>
    </row>
    <row r="51" spans="1:9" x14ac:dyDescent="0.2">
      <c r="A51" t="s">
        <v>76</v>
      </c>
      <c r="B51">
        <f>B16*(1-D40)</f>
        <v>135</v>
      </c>
    </row>
    <row r="52" spans="1:9" x14ac:dyDescent="0.2">
      <c r="A52" t="s">
        <v>77</v>
      </c>
      <c r="B52">
        <f>B15-B51</f>
        <v>36</v>
      </c>
    </row>
    <row r="54" spans="1:9" x14ac:dyDescent="0.2">
      <c r="A54" s="40" t="s">
        <v>78</v>
      </c>
    </row>
    <row r="55" spans="1:9" x14ac:dyDescent="0.2">
      <c r="A55" t="s">
        <v>16</v>
      </c>
      <c r="B55" s="40">
        <v>120000</v>
      </c>
    </row>
    <row r="56" spans="1:9" x14ac:dyDescent="0.2">
      <c r="A56" t="s">
        <v>17</v>
      </c>
      <c r="B56" s="40">
        <v>16000</v>
      </c>
    </row>
    <row r="57" spans="1:9" x14ac:dyDescent="0.2">
      <c r="A57" t="s">
        <v>44</v>
      </c>
      <c r="B57">
        <f>(B55-B56)/B28</f>
        <v>2</v>
      </c>
    </row>
    <row r="58" spans="1:9" x14ac:dyDescent="0.2">
      <c r="A58" t="s">
        <v>79</v>
      </c>
      <c r="B58" t="str">
        <f>IF(B57&gt;D39,"fail","pass")</f>
        <v>pass</v>
      </c>
    </row>
    <row r="59" spans="1:9" x14ac:dyDescent="0.2">
      <c r="A59" t="s">
        <v>72</v>
      </c>
      <c r="B59">
        <f>B57-D39</f>
        <v>0</v>
      </c>
    </row>
    <row r="61" spans="1:9" x14ac:dyDescent="0.2">
      <c r="A61" t="s">
        <v>80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37"/>
  <sheetViews>
    <sheetView workbookViewId="0"/>
  </sheetViews>
  <sheetFormatPr baseColWidth="10" defaultColWidth="8.83203125" defaultRowHeight="15" x14ac:dyDescent="0.2"/>
  <cols>
    <col min="1" max="1" width="46" customWidth="1"/>
    <col min="2" max="3" width="22" customWidth="1"/>
    <col min="4" max="4" width="14" customWidth="1"/>
    <col min="5" max="5" width="34" customWidth="1"/>
    <col min="6" max="6" width="24" customWidth="1"/>
    <col min="7" max="7" width="26" customWidth="1"/>
  </cols>
  <sheetData>
    <row r="1" spans="1:7" x14ac:dyDescent="0.2">
      <c r="A1" s="51" t="s">
        <v>375</v>
      </c>
    </row>
    <row r="2" spans="1:7" x14ac:dyDescent="0.2">
      <c r="A2" t="s">
        <v>376</v>
      </c>
    </row>
    <row r="3" spans="1:7" x14ac:dyDescent="0.2">
      <c r="A3" t="s">
        <v>377</v>
      </c>
    </row>
    <row r="5" spans="1:7" x14ac:dyDescent="0.2">
      <c r="A5" s="51" t="s">
        <v>378</v>
      </c>
    </row>
    <row r="6" spans="1:7" x14ac:dyDescent="0.2">
      <c r="A6" s="51" t="s">
        <v>379</v>
      </c>
      <c r="B6" s="51" t="s">
        <v>380</v>
      </c>
      <c r="C6" s="51" t="s">
        <v>381</v>
      </c>
      <c r="D6" s="51" t="s">
        <v>325</v>
      </c>
      <c r="E6" s="51" t="s">
        <v>362</v>
      </c>
      <c r="F6" s="51" t="s">
        <v>382</v>
      </c>
      <c r="G6" s="51" t="s">
        <v>383</v>
      </c>
    </row>
    <row r="7" spans="1:7" x14ac:dyDescent="0.2">
      <c r="A7" t="s">
        <v>384</v>
      </c>
      <c r="B7" s="52">
        <v>416161</v>
      </c>
      <c r="C7" s="53">
        <v>416161</v>
      </c>
      <c r="D7" s="53">
        <f t="shared" ref="D7:D14" si="0">C7-B7</f>
        <v>0</v>
      </c>
      <c r="E7" t="str">
        <f t="shared" ref="E7:E14" si="1">IF(ABS(D7)&lt;0.5,"agrees","DISAGREES")</f>
        <v>agrees</v>
      </c>
      <c r="F7" t="s">
        <v>385</v>
      </c>
      <c r="G7" t="s">
        <v>386</v>
      </c>
    </row>
    <row r="8" spans="1:7" x14ac:dyDescent="0.2">
      <c r="A8" t="s">
        <v>387</v>
      </c>
      <c r="B8" s="52">
        <v>195201</v>
      </c>
      <c r="C8" s="53">
        <v>195201</v>
      </c>
      <c r="D8" s="53">
        <f t="shared" si="0"/>
        <v>0</v>
      </c>
      <c r="E8" t="str">
        <f t="shared" si="1"/>
        <v>agrees</v>
      </c>
      <c r="F8" t="s">
        <v>388</v>
      </c>
      <c r="G8" t="s">
        <v>41</v>
      </c>
    </row>
    <row r="9" spans="1:7" x14ac:dyDescent="0.2">
      <c r="A9" t="s">
        <v>389</v>
      </c>
      <c r="B9" s="52">
        <v>133050</v>
      </c>
      <c r="C9" s="53">
        <v>133050</v>
      </c>
      <c r="D9" s="53">
        <f t="shared" si="0"/>
        <v>0</v>
      </c>
      <c r="E9" t="str">
        <f t="shared" si="1"/>
        <v>agrees</v>
      </c>
      <c r="F9" t="s">
        <v>390</v>
      </c>
      <c r="G9" t="s">
        <v>10</v>
      </c>
    </row>
    <row r="10" spans="1:7" x14ac:dyDescent="0.2">
      <c r="A10" t="s">
        <v>391</v>
      </c>
      <c r="B10" s="52">
        <v>73733</v>
      </c>
      <c r="C10" s="53">
        <v>73733</v>
      </c>
      <c r="D10" s="53">
        <f t="shared" si="0"/>
        <v>0</v>
      </c>
      <c r="E10" t="str">
        <f t="shared" si="1"/>
        <v>agrees</v>
      </c>
      <c r="F10" t="s">
        <v>392</v>
      </c>
      <c r="G10" t="s">
        <v>393</v>
      </c>
    </row>
    <row r="11" spans="1:7" x14ac:dyDescent="0.2">
      <c r="A11" t="s">
        <v>394</v>
      </c>
      <c r="B11" s="52">
        <v>35934</v>
      </c>
      <c r="C11" s="53">
        <v>35934</v>
      </c>
      <c r="D11" s="53">
        <f t="shared" si="0"/>
        <v>0</v>
      </c>
      <c r="E11" t="str">
        <f t="shared" si="1"/>
        <v>agrees</v>
      </c>
      <c r="F11" t="s">
        <v>395</v>
      </c>
      <c r="G11" t="s">
        <v>396</v>
      </c>
    </row>
    <row r="12" spans="1:7" x14ac:dyDescent="0.2">
      <c r="A12" t="s">
        <v>397</v>
      </c>
      <c r="B12" s="52">
        <v>12350</v>
      </c>
      <c r="C12" s="53">
        <v>12350</v>
      </c>
      <c r="D12" s="53">
        <f t="shared" si="0"/>
        <v>0</v>
      </c>
      <c r="E12" t="str">
        <f t="shared" si="1"/>
        <v>agrees</v>
      </c>
      <c r="F12" t="s">
        <v>398</v>
      </c>
      <c r="G12" t="s">
        <v>399</v>
      </c>
    </row>
    <row r="13" spans="1:7" x14ac:dyDescent="0.2">
      <c r="A13" t="s">
        <v>400</v>
      </c>
      <c r="B13" s="52">
        <v>78328</v>
      </c>
      <c r="C13" s="53">
        <v>78328</v>
      </c>
      <c r="D13" s="53">
        <f t="shared" si="0"/>
        <v>0</v>
      </c>
      <c r="E13" t="str">
        <f t="shared" si="1"/>
        <v>agrees</v>
      </c>
      <c r="F13" t="s">
        <v>401</v>
      </c>
      <c r="G13" t="s">
        <v>402</v>
      </c>
    </row>
    <row r="14" spans="1:7" x14ac:dyDescent="0.2">
      <c r="A14" t="s">
        <v>403</v>
      </c>
      <c r="B14" s="52">
        <v>7979</v>
      </c>
      <c r="C14" s="53">
        <v>7979</v>
      </c>
      <c r="D14" s="53">
        <f t="shared" si="0"/>
        <v>0</v>
      </c>
      <c r="E14" t="str">
        <f t="shared" si="1"/>
        <v>agrees</v>
      </c>
      <c r="F14" t="s">
        <v>404</v>
      </c>
      <c r="G14" t="s">
        <v>405</v>
      </c>
    </row>
    <row r="15" spans="1:7" x14ac:dyDescent="0.2">
      <c r="A15" s="51" t="s">
        <v>363</v>
      </c>
      <c r="B15">
        <f>COUNTIF(E7:E14,"agrees")</f>
        <v>8</v>
      </c>
      <c r="C15" t="s">
        <v>406</v>
      </c>
    </row>
    <row r="17" spans="1:20" x14ac:dyDescent="0.2">
      <c r="A17" s="51" t="s">
        <v>407</v>
      </c>
    </row>
    <row r="18" spans="1:20" x14ac:dyDescent="0.2">
      <c r="A18" s="51" t="s">
        <v>408</v>
      </c>
      <c r="B18" s="51" t="s">
        <v>380</v>
      </c>
      <c r="C18" s="51" t="s">
        <v>381</v>
      </c>
      <c r="D18" s="51" t="s">
        <v>325</v>
      </c>
      <c r="E18" s="51" t="s">
        <v>362</v>
      </c>
      <c r="F18" s="51" t="s">
        <v>409</v>
      </c>
      <c r="G18" s="51" t="s">
        <v>410</v>
      </c>
    </row>
    <row r="19" spans="1:20" x14ac:dyDescent="0.2">
      <c r="A19" t="s">
        <v>411</v>
      </c>
      <c r="B19" s="52">
        <v>4834</v>
      </c>
      <c r="C19" s="53">
        <v>4834</v>
      </c>
      <c r="D19" s="53">
        <f>C19-B19</f>
        <v>0</v>
      </c>
      <c r="E19" t="str">
        <f>IF(ABS(D19)&lt;0.5,"agrees","DISAGREES")</f>
        <v>agrees</v>
      </c>
      <c r="F19" t="s">
        <v>412</v>
      </c>
      <c r="G19" t="s">
        <v>413</v>
      </c>
    </row>
    <row r="20" spans="1:20" x14ac:dyDescent="0.2">
      <c r="A20" t="s">
        <v>414</v>
      </c>
      <c r="B20" s="52">
        <v>6119</v>
      </c>
      <c r="C20" s="53">
        <v>6119</v>
      </c>
      <c r="D20" s="53">
        <f>C20-B20</f>
        <v>0</v>
      </c>
      <c r="E20" t="str">
        <f>IF(ABS(D20)&lt;0.5,"agrees","DISAGREES")</f>
        <v>agrees</v>
      </c>
      <c r="F20" t="s">
        <v>415</v>
      </c>
      <c r="G20" t="s">
        <v>416</v>
      </c>
    </row>
    <row r="21" spans="1:20" x14ac:dyDescent="0.2">
      <c r="A21" t="s">
        <v>417</v>
      </c>
    </row>
    <row r="23" spans="1:20" x14ac:dyDescent="0.2">
      <c r="A23" s="51" t="s">
        <v>418</v>
      </c>
    </row>
    <row r="24" spans="1:20" x14ac:dyDescent="0.2">
      <c r="A24" s="51" t="s">
        <v>419</v>
      </c>
      <c r="B24" s="51" t="s">
        <v>420</v>
      </c>
      <c r="C24" s="51" t="s">
        <v>209</v>
      </c>
      <c r="D24" s="51" t="s">
        <v>421</v>
      </c>
      <c r="E24" s="51" t="s">
        <v>362</v>
      </c>
    </row>
    <row r="25" spans="1:20" x14ac:dyDescent="0.2">
      <c r="A25" t="s">
        <v>422</v>
      </c>
      <c r="B25" t="s">
        <v>423</v>
      </c>
      <c r="C25" s="53">
        <f>35934+18763+77723</f>
        <v>132420</v>
      </c>
      <c r="D25" s="52">
        <v>132400</v>
      </c>
      <c r="E25" t="str">
        <f>IF(ABS(C25-D25)&lt;100,"agrees (MD&amp;A rounds to 0.1bn)","DISAGREES")</f>
        <v>agrees (MD&amp;A rounds to 0.1bn)</v>
      </c>
    </row>
    <row r="26" spans="1:20" x14ac:dyDescent="0.2">
      <c r="A26" t="s">
        <v>424</v>
      </c>
    </row>
    <row r="28" spans="1:20" x14ac:dyDescent="0.2">
      <c r="A28" s="54" t="s">
        <v>425</v>
      </c>
    </row>
    <row r="29" spans="1:20" x14ac:dyDescent="0.2">
      <c r="A29" t="s">
        <v>426</v>
      </c>
    </row>
    <row r="30" spans="1:20" x14ac:dyDescent="0.2">
      <c r="A30" t="s">
        <v>427</v>
      </c>
      <c r="B30" s="55">
        <v>0.2</v>
      </c>
    </row>
    <row r="31" spans="1:20" x14ac:dyDescent="0.2">
      <c r="A31" s="54" t="s">
        <v>5</v>
      </c>
      <c r="B31" s="54" t="s">
        <v>403</v>
      </c>
      <c r="C31" s="54" t="s">
        <v>397</v>
      </c>
      <c r="D31" s="54" t="s">
        <v>400</v>
      </c>
      <c r="E31" s="54" t="s">
        <v>428</v>
      </c>
      <c r="F31" s="54" t="s">
        <v>394</v>
      </c>
      <c r="G31" s="54" t="s">
        <v>429</v>
      </c>
      <c r="H31" s="54" t="s">
        <v>430</v>
      </c>
      <c r="I31" s="54" t="s">
        <v>362</v>
      </c>
      <c r="J31" s="54" t="s">
        <v>389</v>
      </c>
      <c r="K31" s="54" t="s">
        <v>431</v>
      </c>
      <c r="L31" s="54" t="s">
        <v>432</v>
      </c>
      <c r="M31" s="54" t="s">
        <v>433</v>
      </c>
      <c r="N31" s="54" t="s">
        <v>434</v>
      </c>
      <c r="O31" s="54" t="s">
        <v>362</v>
      </c>
      <c r="P31" s="54" t="s">
        <v>435</v>
      </c>
      <c r="Q31" s="54" t="s">
        <v>436</v>
      </c>
      <c r="R31" s="54" t="s">
        <v>362</v>
      </c>
      <c r="S31" s="54" t="s">
        <v>437</v>
      </c>
      <c r="T31" s="54" t="s">
        <v>438</v>
      </c>
    </row>
    <row r="32" spans="1:20" x14ac:dyDescent="0.2">
      <c r="A32" t="s">
        <v>18</v>
      </c>
      <c r="B32" s="53">
        <v>6000</v>
      </c>
      <c r="C32" s="53">
        <v>9613</v>
      </c>
      <c r="D32" s="53">
        <v>109106</v>
      </c>
      <c r="E32" s="53">
        <f>B32+C32+D32</f>
        <v>124719</v>
      </c>
      <c r="F32" s="53">
        <v>34940</v>
      </c>
      <c r="G32" s="53">
        <f>E32-F32</f>
        <v>89779</v>
      </c>
      <c r="H32" s="56">
        <v>89779</v>
      </c>
      <c r="I32" t="str">
        <f>IF(ABS(G32-H32)&lt;0.5,"agrees","DISAGREES")</f>
        <v>agrees</v>
      </c>
      <c r="J32" s="53">
        <v>108949</v>
      </c>
      <c r="K32" s="53">
        <v>11284</v>
      </c>
      <c r="L32" s="53">
        <f>J32+K32</f>
        <v>120233</v>
      </c>
      <c r="M32" s="57">
        <f>G32/L32</f>
        <v>0.7467084743789143</v>
      </c>
      <c r="N32" s="58">
        <v>0.75</v>
      </c>
      <c r="O32" t="str">
        <f>IF(ABS(ROUND(M32,2)-N32)&lt;0.005,"agrees","DISAGREES")</f>
        <v>agrees</v>
      </c>
      <c r="P32" s="59">
        <f>J32*(1-$B$30)</f>
        <v>87159.200000000012</v>
      </c>
      <c r="Q32" s="60">
        <v>87159.2</v>
      </c>
      <c r="R32" t="str">
        <f>IF(ABS(P32-Q32)&lt;0.05,"agrees","DISAGREES")</f>
        <v>agrees</v>
      </c>
      <c r="S32" s="61">
        <v>0.13300000000000001</v>
      </c>
      <c r="T32" s="59">
        <f>J32*(1-S32)</f>
        <v>94458.782999999996</v>
      </c>
    </row>
    <row r="33" spans="1:20" x14ac:dyDescent="0.2">
      <c r="A33" t="s">
        <v>21</v>
      </c>
      <c r="B33" s="53">
        <v>9982</v>
      </c>
      <c r="C33" s="53">
        <v>11128</v>
      </c>
      <c r="D33" s="53">
        <v>98959</v>
      </c>
      <c r="E33" s="53">
        <f>B33+C33+D33</f>
        <v>120069</v>
      </c>
      <c r="F33" s="53">
        <v>23646</v>
      </c>
      <c r="G33" s="53">
        <f>E33-F33</f>
        <v>96423</v>
      </c>
      <c r="H33" s="56">
        <v>96423</v>
      </c>
      <c r="I33" t="str">
        <f>IF(ABS(G33-H33)&lt;0.5,"agrees","DISAGREES")</f>
        <v>agrees</v>
      </c>
      <c r="J33" s="53">
        <v>119437</v>
      </c>
      <c r="K33" s="53">
        <v>11104</v>
      </c>
      <c r="L33" s="53">
        <f>J33+K33</f>
        <v>130541</v>
      </c>
      <c r="M33" s="57">
        <f>G33/L33</f>
        <v>0.73864149960548797</v>
      </c>
      <c r="N33" s="58">
        <v>0.74</v>
      </c>
      <c r="O33" t="str">
        <f>IF(ABS(ROUND(M33,2)-N33)&lt;0.005,"agrees","DISAGREES")</f>
        <v>agrees</v>
      </c>
      <c r="P33" s="59">
        <f>J33*(1-$B$30)</f>
        <v>95549.6</v>
      </c>
      <c r="Q33" s="60">
        <v>95549.6</v>
      </c>
      <c r="R33" t="str">
        <f>IF(ABS(P33-Q33)&lt;0.05,"agrees","DISAGREES")</f>
        <v>agrees</v>
      </c>
      <c r="S33" s="61">
        <v>0.16200000000000001</v>
      </c>
      <c r="T33" s="59">
        <f>J33*(1-S33)</f>
        <v>100088.20599999999</v>
      </c>
    </row>
    <row r="34" spans="1:20" x14ac:dyDescent="0.2">
      <c r="A34" t="s">
        <v>24</v>
      </c>
      <c r="B34" s="53">
        <v>5985</v>
      </c>
      <c r="C34" s="53">
        <v>9822</v>
      </c>
      <c r="D34" s="53">
        <v>95281</v>
      </c>
      <c r="E34" s="53">
        <f>B34+C34+D34</f>
        <v>111088</v>
      </c>
      <c r="F34" s="53">
        <v>29965</v>
      </c>
      <c r="G34" s="53">
        <f>E34-F34</f>
        <v>81123</v>
      </c>
      <c r="H34" s="56">
        <v>81123</v>
      </c>
      <c r="I34" t="str">
        <f>IF(ABS(G34-H34)&lt;0.5,"agrees","DISAGREES")</f>
        <v>agrees</v>
      </c>
      <c r="J34" s="53">
        <v>114301</v>
      </c>
      <c r="K34" s="53">
        <v>11519</v>
      </c>
      <c r="L34" s="53">
        <f>J34+K34</f>
        <v>125820</v>
      </c>
      <c r="M34" s="57">
        <f>G34/L34</f>
        <v>0.6447544110634239</v>
      </c>
      <c r="N34" s="58">
        <v>0.64</v>
      </c>
      <c r="O34" t="str">
        <f>IF(ABS(ROUND(M34,2)-N34)&lt;0.005,"agrees","DISAGREES")</f>
        <v>agrees</v>
      </c>
      <c r="P34" s="59">
        <f>J34*(1-$B$30)</f>
        <v>91440.8</v>
      </c>
      <c r="Q34" s="60">
        <v>91440.8</v>
      </c>
      <c r="R34" t="str">
        <f>IF(ABS(P34-Q34)&lt;0.05,"agrees","DISAGREES")</f>
        <v>agrees</v>
      </c>
      <c r="S34" s="61">
        <v>0.14699999999999999</v>
      </c>
      <c r="T34" s="59">
        <f>J34*(1-S34)</f>
        <v>97498.752999999997</v>
      </c>
    </row>
    <row r="35" spans="1:20" x14ac:dyDescent="0.2">
      <c r="A35" t="s">
        <v>27</v>
      </c>
      <c r="B35" s="53">
        <v>9967</v>
      </c>
      <c r="C35" s="53">
        <v>10912</v>
      </c>
      <c r="D35" s="53">
        <v>85750</v>
      </c>
      <c r="E35" s="53">
        <f>B35+C35+D35</f>
        <v>106629</v>
      </c>
      <c r="F35" s="53">
        <v>29943</v>
      </c>
      <c r="G35" s="53">
        <f>E35-F35</f>
        <v>76686</v>
      </c>
      <c r="H35" s="56">
        <v>76686</v>
      </c>
      <c r="I35" t="str">
        <f>IF(ABS(G35-H35)&lt;0.5,"agrees","DISAGREES")</f>
        <v>agrees</v>
      </c>
      <c r="J35" s="53">
        <v>123216</v>
      </c>
      <c r="K35" s="53">
        <v>11445</v>
      </c>
      <c r="L35" s="53">
        <f>J35+K35</f>
        <v>134661</v>
      </c>
      <c r="M35" s="57">
        <f>G35/L35</f>
        <v>0.56947445808363228</v>
      </c>
      <c r="N35" s="58">
        <v>0.56999999999999995</v>
      </c>
      <c r="O35" t="str">
        <f>IF(ABS(ROUND(M35,2)-N35)&lt;0.005,"agrees","DISAGREES")</f>
        <v>agrees</v>
      </c>
      <c r="P35" s="59">
        <f>J35*(1-$B$30)</f>
        <v>98572.800000000003</v>
      </c>
      <c r="Q35" s="60">
        <v>98572.800000000003</v>
      </c>
      <c r="R35" t="str">
        <f>IF(ABS(P35-Q35)&lt;0.05,"agrees","DISAGREES")</f>
        <v>agrees</v>
      </c>
      <c r="S35" s="61">
        <v>0.24099999999999999</v>
      </c>
      <c r="T35" s="59">
        <f>J35*(1-S35)</f>
        <v>93520.944000000003</v>
      </c>
    </row>
    <row r="36" spans="1:20" x14ac:dyDescent="0.2">
      <c r="A36" t="s">
        <v>30</v>
      </c>
      <c r="B36" s="53">
        <v>7979</v>
      </c>
      <c r="C36" s="53">
        <v>12350</v>
      </c>
      <c r="D36" s="53">
        <v>78328</v>
      </c>
      <c r="E36" s="53">
        <f>B36+C36+D36</f>
        <v>98657</v>
      </c>
      <c r="F36" s="53">
        <v>35934</v>
      </c>
      <c r="G36" s="53">
        <f>E36-F36</f>
        <v>62723</v>
      </c>
      <c r="H36" s="56">
        <v>62723</v>
      </c>
      <c r="I36" t="str">
        <f>IF(ABS(G36-H36)&lt;0.5,"agrees","DISAGREES")</f>
        <v>agrees</v>
      </c>
      <c r="J36" s="53">
        <v>133050</v>
      </c>
      <c r="K36" s="53">
        <v>11698</v>
      </c>
      <c r="L36" s="53">
        <f>J36+K36</f>
        <v>144748</v>
      </c>
      <c r="M36" s="57">
        <f>G36/L36</f>
        <v>0.43332550363390165</v>
      </c>
      <c r="N36" s="58">
        <v>0.43</v>
      </c>
      <c r="O36" t="str">
        <f>IF(ABS(ROUND(M36,2)-N36)&lt;0.005,"agrees","DISAGREES")</f>
        <v>agrees</v>
      </c>
      <c r="P36" s="59">
        <f>J36*(1-$B$30)</f>
        <v>106440</v>
      </c>
      <c r="Q36" s="60">
        <v>106440</v>
      </c>
      <c r="R36" t="str">
        <f>IF(ABS(P36-Q36)&lt;0.05,"agrees","DISAGREES")</f>
        <v>agrees</v>
      </c>
      <c r="S36" s="61">
        <v>0.156</v>
      </c>
      <c r="T36" s="59">
        <f>J36*(1-S36)</f>
        <v>112294.2</v>
      </c>
    </row>
    <row r="37" spans="1:20" x14ac:dyDescent="0.2">
      <c r="A37" t="s">
        <v>363</v>
      </c>
      <c r="B37">
        <f>COUNTIF(I32:I36,"agrees")+COUNTIF(O32:O36,"agrees")+COUNTIF(R32:R36,"agrees")</f>
        <v>15</v>
      </c>
      <c r="C37" t="s">
        <v>439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11</vt:i4>
      </vt:variant>
    </vt:vector>
  </HeadingPairs>
  <TitlesOfParts>
    <vt:vector size="11" baseType="lpstr">
      <vt:lpstr>Decisions</vt:lpstr>
      <vt:lpstr>Positions</vt:lpstr>
      <vt:lpstr>Alloc-AssetClass</vt:lpstr>
      <vt:lpstr>Alloc-Sector</vt:lpstr>
      <vt:lpstr>Volatility</vt:lpstr>
      <vt:lpstr>Answers</vt:lpstr>
      <vt:lpstr>Compliance</vt:lpstr>
      <vt:lpstr>Ledger</vt:lpstr>
      <vt:lpstr>Prices</vt:lpstr>
      <vt:lpstr>Philosophy</vt:lpstr>
      <vt:lpstr>Filings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Sengül, Fatih</cp:lastModifiedBy>
  <cp:revision>0</cp:revision>
  <dcterms:created xsi:type="dcterms:W3CDTF">2026-09-03T16:22:50Z</dcterms:created>
  <dcterms:modified xsi:type="dcterms:W3CDTF">2026-09-20T15:45:15Z</dcterms:modified>
  <dc:language>en-US</dc:language>
</cp:coreProperties>
</file>