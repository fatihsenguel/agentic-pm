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comments2.xml" ContentType="application/vnd.openxmlformats-officedocument.spreadsheetml.comments+xml"/>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Decisions" sheetId="1" state="visible" r:id="rId3"/>
    <sheet name="Positions" sheetId="2" state="visible" r:id="rId4"/>
    <sheet name="Alloc-AssetClass" sheetId="3" state="visible" r:id="rId5"/>
    <sheet name="Alloc-Sector" sheetId="4" state="visible" r:id="rId6"/>
    <sheet name="Volatility" sheetId="5" state="visible" r:id="rId7"/>
    <sheet name="Answers" sheetId="6" state="visible" r:id="rId8"/>
    <sheet name="Compliance" sheetId="7" state="visible" r:id="rId9"/>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13" authorId="0">
      <text>
        <r>
          <rPr>
            <sz val="10"/>
            <rFont val="Arial"/>
            <family val="2"/>
          </rPr>
          <t xml:space="preserve">Use an independent source (Yahoo Finance web, or your broker).
Do NOT use the system's own latest_prices: a systematic price error would then be inherited by both sides of the comparison, which defeats the purpose of this sheet.
If you do use it, spot-check at least three tickers against an independent source and note that here.</t>
        </r>
      </text>
    </comment>
    <comment ref="B21" authorId="0">
      <text>
        <r>
          <rPr>
            <sz val="10"/>
            <rFont val="Arial"/>
            <family val="2"/>
          </rPr>
          <t xml:space="preserve">Cash is $15,500 = 5.17% of the $300,000 total.</t>
        </r>
      </text>
    </comment>
    <comment ref="B22" authorId="0">
      <text>
        <r>
          <rPr>
            <sz val="10"/>
            <rFont val="Arial"/>
            <family val="2"/>
          </rPr>
          <t xml:space="preserve">Not a rounding decision. Unsectored cost basis is $147,000 = 51.7% of the $284,500 invested, so this choice changes every sector percentage by roughly a factor of two.</t>
        </r>
      </text>
    </comment>
    <comment ref="B26" authorId="0">
      <text>
        <r>
          <rPr>
            <sz val="10"/>
            <rFont val="Arial"/>
            <family val="2"/>
          </rPr>
          <t xml:space="preserve">Five implementations exist: quant/risk_metrics.py:108, backtest/metrics.py:111, tools/analytics_tools.py:67, optimization/base.py:189, and an inline std()*sqrt(252) at backtest/engine.py:523.
Only the analytics_tools one is exposed as a @tool, and it is per-ticker. Benchmark 1.3 asks for PORTFOLIO volatility, which needs weights against the covariance matrix. Easier to answer this after computing it once on the Volatility sheet.</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F14" authorId="0">
      <text>
        <r>
          <rPr>
            <sz val="10"/>
            <rFont val="Arial"/>
            <family val="2"/>
          </rPr>
          <t xml:space="preserve">Cash has no purchase price, so cost basis and market value are the same figure. Source: seed data.</t>
        </r>
      </text>
    </comment>
    <comment ref="H15" authorId="0">
      <text>
        <r>
          <rPr>
            <sz val="10"/>
            <rFont val="Arial"/>
            <family val="2"/>
          </rPr>
          <t xml:space="preserve">Blank until all nine current prices are entered, so partial totals cannot be mistaken for final ones.</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9" authorId="0">
      <text>
        <r>
          <rPr>
            <sz val="10"/>
            <rFont val="Arial"/>
            <family val="2"/>
          </rPr>
          <t xml:space="preserve">SPY, TLT, GLD and VNQ. These are funds with no single sector in the seed data. A real sector allocation would look through SPY to its constituents; that is out of scope, so these figures describe the holdings, not the underlying economic exposure.</t>
        </r>
      </text>
    </comment>
    <comment ref="B14" authorId="0">
      <text>
        <r>
          <rPr>
            <sz val="10"/>
            <rFont val="Arial"/>
            <family val="2"/>
          </rPr>
          <t xml:space="preserve">Case 1.4 passes on completeness, so name the positions, not just the percentage.
Also decide: does a correct answer mention that roughly half the portfolio has no sector at all? An answer that silently reports Technology as 58% of a $137,500 denominator, when the portfolio is $284,500, is misleading without that caveat.</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Record which you used. The sheet below computes both (sample and population) so the difference is visible; with ~250 observations it is negligible, but D5/D6/D7 require the basis to be stated.</t>
        </r>
      </text>
    </comment>
    <comment ref="B8" authorId="0">
      <text>
        <r>
          <rPr>
            <sz val="10"/>
            <rFont val="Arial"/>
            <family val="2"/>
          </rPr>
          <t xml:space="preserve">Weights of INVESTED, so they sum to 100% across the nine positions.
If D2 includes cash in the denominator: cash has zero volatility and zero correlation, so the portfolio volatility including cash equals the figure below multiplied by the invested fraction (94.83% at cost basis). Record which you report.</t>
        </r>
      </text>
    </comment>
    <comment ref="B302" authorId="0">
      <text>
        <r>
          <rPr>
            <sz val="10"/>
            <rFont val="Arial"/>
            <family val="2"/>
          </rPr>
          <t xml:space="preserve">Portfolio volatility must be below the weighted average of the individual volatilities unless every position is perfectly correlated. If it is not, the weights, the returns, or the alignment of the price columns is wrong.</t>
        </r>
      </text>
    </comment>
  </commentList>
</comments>
</file>

<file path=xl/sharedStrings.xml><?xml version="1.0" encoding="utf-8"?>
<sst xmlns="http://schemas.openxmlformats.org/spreadsheetml/2006/main" count="473" uniqueCount="240">
  <si>
    <t xml:space="preserve">Expected values — Benchmark Portfolio (portfolio_id 3)</t>
  </si>
  <si>
    <t xml:space="preserve">Roadmap 0.2. Computed BY HAND, before the capabilities exist, so there is an independent reference to check them against.</t>
  </si>
  <si>
    <t xml:space="preserve">Do NOT update these numbers to match code output. If the code disagrees, one of the two is wrong and that must be resolved deliberately.</t>
  </si>
  <si>
    <t xml:space="preserve">HOW TO USE THIS WORKBOOK</t>
  </si>
  <si>
    <t xml:space="preserve">Yellow cells</t>
  </si>
  <si>
    <t xml:space="preserve">You fill these in. Everything else is a formula and recalculates.</t>
  </si>
  <si>
    <t xml:space="preserve">Blue text</t>
  </si>
  <si>
    <t xml:space="preserve">Hardcoded input taken from the seed data.</t>
  </si>
  <si>
    <t xml:space="preserve">Black text</t>
  </si>
  <si>
    <t xml:space="preserve">Formula.</t>
  </si>
  <si>
    <t xml:space="preserve">Order of work</t>
  </si>
  <si>
    <t xml:space="preserve">1) Decisions below  2) Positions  3) Allocation sheets  4) Volatility  5) Answers</t>
  </si>
  <si>
    <t xml:space="preserve">Provenance</t>
  </si>
  <si>
    <t xml:space="preserve">Computed on</t>
  </si>
  <si>
    <t xml:space="preserve">03.09.2026 18:38 (Berlin)</t>
  </si>
  <si>
    <t xml:space="preserve">Price source</t>
  </si>
  <si>
    <t xml:space="preserve">Yahoo Finance via Yfinance</t>
  </si>
  <si>
    <t xml:space="preserve">Price as-of date</t>
  </si>
  <si>
    <t xml:space="preserve">Part 0 — Decisions</t>
  </si>
  <si>
    <t xml:space="preserve">These are the point of the exercise. Each is a choice the code has to encode somewhere, and it is better made here than accidentally inside an agent.</t>
  </si>
  <si>
    <t xml:space="preserve">#</t>
  </si>
  <si>
    <t xml:space="preserve">Decision</t>
  </si>
  <si>
    <t xml:space="preserve">Choice</t>
  </si>
  <si>
    <t xml:space="preserve">Why</t>
  </si>
  <si>
    <t xml:space="preserve">D1</t>
  </si>
  <si>
    <t xml:space="preserve">Allocation by market value or cost basis?</t>
  </si>
  <si>
    <t xml:space="preserve">market value</t>
  </si>
  <si>
    <t xml:space="preserve">Allocation means current exposure. Cost-basis allocation tells you what you paid, which is irrelevant to risk. Every professional report uses market value, and IPS limits are written against it. Cost basis matters only for P&amp;L and tax lots.</t>
  </si>
  <si>
    <t xml:space="preserve">D2</t>
  </si>
  <si>
    <t xml:space="preserve">Does cash count in the allocation denominator?</t>
  </si>
  <si>
    <t xml:space="preserve">include cash</t>
  </si>
  <si>
    <t xml:space="preserve">Cash is an asset class and holding it is a positioning decision. If you're 20% cash, saying "equities are 79% of invested" hides that. Benchmark 2.1 checks concentration against your IPS, and IPS limits are expressed against total portfolio value. Denominator = total including cash.</t>
  </si>
  <si>
    <t xml:space="preserve">D3</t>
  </si>
  <si>
    <t xml:space="preserve">Are unsectored holdings reported explicitly, or excluded from the sector denominator?</t>
  </si>
  <si>
    <t xml:space="preserve">Report explicitly, denominator = total invested.</t>
  </si>
  <si>
    <t xml:space="preserve">This is the one where the wrong choice is actively misleading. "Technology is 58%" is true only against the $137,500 sectored subset; against the portfolio it's 28%. With 51.7% unsectored, silently dropping it inflates every sector figure roughly twofold. Report (no sector) 51.67% as its own line so the percentages sum to 100%. Your own principles point the same way, and Part 3b's "what it did not do" has a natural place for it.</t>
  </si>
  <si>
    <t xml:space="preserve">D4</t>
  </si>
  <si>
    <t xml:space="preserve">Is P&amp;L total return or price return?</t>
  </si>
  <si>
    <t xml:space="preserve">price return</t>
  </si>
  <si>
    <t xml:space="preserve">This one is forced by the data model, not chosen: Dividend has no portfolio_id, so no dividend can be attributed to a portfolio. Total return isn't computable today. The honest move is to compute price return and say so in the output. It also becomes a schema to-do — JNJ, JPM, NEE, VNQ and TLT all pay, so the understatement is material.</t>
  </si>
  <si>
    <t xml:space="preserve">D5</t>
  </si>
  <si>
    <t xml:space="preserve">Volatility on daily or weekly returns?</t>
  </si>
  <si>
    <t xml:space="preserve">daily</t>
  </si>
  <si>
    <t xml:space="preserve">~250 observations over twelve months versus ~52 weekly. Weekly reduces microstructure noise but 52 points is a thin estimate.</t>
  </si>
  <si>
    <t xml:space="preserve">D6</t>
  </si>
  <si>
    <t xml:space="preserve">Annualisation factor?</t>
  </si>
  <si>
    <t xml:space="preserve">Must match D5. (Weekly would be 52.)</t>
  </si>
  <si>
    <t xml:space="preserve">D7</t>
  </si>
  <si>
    <t xml:space="preserve">Which of the five volatility implementations is canonical?</t>
  </si>
  <si>
    <t xml:space="preserve">quant/risk_metrics.py is canonical for return-series volatility. A new portfolio_volatility(weights, cov_matrix) goes there too, since none of the five computes portfolio-level vol. analytics_tools.py and optimization/base.py delegate to it. backtest/metrics.py and the inline engine.py:523 are scoped backtest-internal, not general-purpose.</t>
  </si>
  <si>
    <t xml:space="preserve">Note on D5/D6/D7</t>
  </si>
  <si>
    <t xml:space="preserve">Benchmark 1.3 passes when the basis of calculation is traceable, so the expected answer must carry D5, D6 and the window — not just the number.</t>
  </si>
  <si>
    <t xml:space="preserve">Part 1 — Positions</t>
  </si>
  <si>
    <t xml:space="preserve">Fill in column G (current price). Everything else computes. Cost basis follows mechanically from the seed data.</t>
  </si>
  <si>
    <t xml:space="preserve">Ticker</t>
  </si>
  <si>
    <t xml:space="preserve">Asset class</t>
  </si>
  <si>
    <t xml:space="preserve">Sector</t>
  </si>
  <si>
    <t xml:space="preserve">Qty</t>
  </si>
  <si>
    <t xml:space="preserve">Avg price ($)</t>
  </si>
  <si>
    <t xml:space="preserve">Cost basis ($)</t>
  </si>
  <si>
    <t xml:space="preserve">Current price ($)</t>
  </si>
  <si>
    <t xml:space="preserve">Market value ($)</t>
  </si>
  <si>
    <t xml:space="preserve">P&amp;L abs ($)</t>
  </si>
  <si>
    <t xml:space="preserve">P&amp;L %</t>
  </si>
  <si>
    <t xml:space="preserve">Purchase date</t>
  </si>
  <si>
    <t xml:space="preserve">Wt. of invested</t>
  </si>
  <si>
    <t xml:space="preserve">Wt. of total</t>
  </si>
  <si>
    <t xml:space="preserve">SPY</t>
  </si>
  <si>
    <t xml:space="preserve">Equity</t>
  </si>
  <si>
    <t xml:space="preserve">(none)</t>
  </si>
  <si>
    <t xml:space="preserve">2024-01-15</t>
  </si>
  <si>
    <t xml:space="preserve">AAPL</t>
  </si>
  <si>
    <t xml:space="preserve">Technology</t>
  </si>
  <si>
    <t xml:space="preserve">2024-02-20</t>
  </si>
  <si>
    <t xml:space="preserve">MSFT</t>
  </si>
  <si>
    <t xml:space="preserve">2024-03-18</t>
  </si>
  <si>
    <t xml:space="preserve">JNJ</t>
  </si>
  <si>
    <t xml:space="preserve">Healthcare</t>
  </si>
  <si>
    <t xml:space="preserve">2024-05-06</t>
  </si>
  <si>
    <t xml:space="preserve">JPM</t>
  </si>
  <si>
    <t xml:space="preserve">Financials</t>
  </si>
  <si>
    <t xml:space="preserve">2024-07-15</t>
  </si>
  <si>
    <t xml:space="preserve">NEE</t>
  </si>
  <si>
    <t xml:space="preserve">Utilities</t>
  </si>
  <si>
    <t xml:space="preserve">2024-09-09</t>
  </si>
  <si>
    <t xml:space="preserve">TLT</t>
  </si>
  <si>
    <t xml:space="preserve">Fixed Income</t>
  </si>
  <si>
    <t xml:space="preserve">2025-01-13</t>
  </si>
  <si>
    <t xml:space="preserve">GLD</t>
  </si>
  <si>
    <t xml:space="preserve">Commodity</t>
  </si>
  <si>
    <t xml:space="preserve">2025-03-10</t>
  </si>
  <si>
    <t xml:space="preserve">VNQ</t>
  </si>
  <si>
    <t xml:space="preserve">Real Estate</t>
  </si>
  <si>
    <t xml:space="preserve">2025-06-02</t>
  </si>
  <si>
    <t xml:space="preserve">CASH</t>
  </si>
  <si>
    <t xml:space="preserve">Cash</t>
  </si>
  <si>
    <t xml:space="preserve">Total invested</t>
  </si>
  <si>
    <t xml:space="preserve">Total incl. cash</t>
  </si>
  <si>
    <t xml:space="preserve">Benchmark 1.2 — chosen position</t>
  </si>
  <si>
    <t xml:space="preserve">Ticker chosen</t>
  </si>
  <si>
    <t xml:space="preserve">Case 1.2 asks about one position and requires the purchase date to be named. Write the full expected answer on the 'Answers' sheet.</t>
  </si>
  <si>
    <t xml:space="preserve">Part 2 — Allocation by asset class</t>
  </si>
  <si>
    <t xml:space="preserve">All computed from the Positions sheet. Whichever pair D1 and D2 select is the answer benchmark case 1.1 must produce.</t>
  </si>
  <si>
    <t xml:space="preserve">% of invested</t>
  </si>
  <si>
    <t xml:space="preserve">% of total incl. cash</t>
  </si>
  <si>
    <t xml:space="preserve">n/a</t>
  </si>
  <si>
    <t xml:space="preserve">Tie-out check</t>
  </si>
  <si>
    <t xml:space="preserve">Cost basis vs Positions total</t>
  </si>
  <si>
    <t xml:space="preserve">Market value vs Positions total</t>
  </si>
  <si>
    <t xml:space="preserve">Part 3 — Allocation by sector</t>
  </si>
  <si>
    <t xml:space="preserve">D3 decides whether the '(no sector)' row is reported explicitly or excluded from the denominator. Both denominators are shown so the difference is visible.</t>
  </si>
  <si>
    <t xml:space="preserve">% of sectored</t>
  </si>
  <si>
    <t xml:space="preserve">(no sector)</t>
  </si>
  <si>
    <t xml:space="preserve">Sectored total</t>
  </si>
  <si>
    <t xml:space="preserve">Invested total</t>
  </si>
  <si>
    <t xml:space="preserve">Benchmark 1.4 — expected answer for Technology</t>
  </si>
  <si>
    <t xml:space="preserve">Positions in Technology</t>
  </si>
  <si>
    <t xml:space="preserve">AAPL — 200 shares @ 324.96 = 64,992.00 (16.47% of invested)
MSFT — 100 shares @ 496.82 = 49,682.00 (12.59% of invested)
Technology total 114,674.00 — 29.05% of invested, 27.96% incl. cash, 55.08% of the sectored subset</t>
  </si>
  <si>
    <t xml:space="preserve">Does the answer have to flag the unsectored half?</t>
  </si>
  <si>
    <t xml:space="preserve">Yes. 47.25% of invested value (186,503.00 — SPY, TLT, GLD, VNQ) carries no sector. Reporting "Technology is 29%" without that leads the reader to assume the remaining 71% is distributed across other sectors, which is false — the other three sectors total only 23.7%. Under D3 the unsectored line is reported explicitly so the figures sum to 100%.</t>
  </si>
  <si>
    <t xml:space="preserve">Part 4 — Twelve-month portfolio volatility</t>
  </si>
  <si>
    <t xml:space="preserve">Do NOT average the per-ticker volatilities: that ignores correlation and will be wrong. Do NOT use the covariance matrix the system produced: if it is wrong, both sides of the comparison inherit the same error.</t>
  </si>
  <si>
    <t xml:space="preserve">Method: build the portfolio's own return series. Mathematically equivalent to the covariance quadratic form and far easier here.</t>
  </si>
  <si>
    <t xml:space="preserve">Inputs</t>
  </si>
  <si>
    <t xml:space="preserve">Annualisation factor (D6)</t>
  </si>
  <si>
    <t xml:space="preserve">Std dev basis</t>
  </si>
  <si>
    <t xml:space="preserve">STDEV.S</t>
  </si>
  <si>
    <t xml:space="preserve">Weights source</t>
  </si>
  <si>
    <t xml:space="preserve">Market-value weights of invested (Positions col L)</t>
  </si>
  <si>
    <t xml:space="preserve">Weights (from Positions, market value)</t>
  </si>
  <si>
    <t xml:space="preserve">Sum</t>
  </si>
  <si>
    <t xml:space="preserve">Weight</t>
  </si>
  <si>
    <t xml:space="preserve">Daily closes — paste 12 months of adjusted closes below</t>
  </si>
  <si>
    <t xml:space="preserve">Paste dates in column A and closes in B:J, oldest first. Returns and the portfolio series compute automatically. Rows beyond your data stay blank.</t>
  </si>
  <si>
    <t xml:space="preserve">Date</t>
  </si>
  <si>
    <t xml:space="preserve">Portfolio daily return</t>
  </si>
  <si>
    <t xml:space="preserve">SPY ret</t>
  </si>
  <si>
    <t xml:space="preserve">AAPL ret</t>
  </si>
  <si>
    <t xml:space="preserve">MSFT ret</t>
  </si>
  <si>
    <t xml:space="preserve">JNJ ret</t>
  </si>
  <si>
    <t xml:space="preserve">JPM ret</t>
  </si>
  <si>
    <t xml:space="preserve">NEE ret</t>
  </si>
  <si>
    <t xml:space="preserve">TLT ret</t>
  </si>
  <si>
    <t xml:space="preserve">GLD ret</t>
  </si>
  <si>
    <t xml:space="preserve">VNQ ret</t>
  </si>
  <si>
    <t xml:space="preserve">Results</t>
  </si>
  <si>
    <t xml:space="preserve">Trading days in window</t>
  </si>
  <si>
    <t xml:space="preserve">Daily std dev (sample)</t>
  </si>
  <si>
    <t xml:space="preserve">Daily std dev (population)</t>
  </si>
  <si>
    <t xml:space="preserve">ANNUALISED PORTFOLIO VOLATILITY (sample)</t>
  </si>
  <si>
    <t xml:space="preserve">Annualised (population)</t>
  </si>
  <si>
    <t xml:space="preserve">Sanity check</t>
  </si>
  <si>
    <t xml:space="preserve">Per-ticker annualised volatility</t>
  </si>
  <si>
    <t xml:space="preserve">Ann. vol</t>
  </si>
  <si>
    <t xml:space="preserve">Weighted average of individual vols</t>
  </si>
  <si>
    <t xml:space="preserve">Portfolio vol below weighted average?</t>
  </si>
  <si>
    <t xml:space="preserve">Part 5 — Expected answers, written out</t>
  </si>
  <si>
    <t xml:space="preserve">In the shape benchmark.md Part 3b requires: the result in the units asked for, the data age as an as-of date, the source for any policy claim, and what it did not do.</t>
  </si>
  <si>
    <t xml:space="preserve">Case</t>
  </si>
  <si>
    <t xml:space="preserve">Prompt</t>
  </si>
  <si>
    <t xml:space="preserve">Expected answer (write out in full)</t>
  </si>
  <si>
    <t xml:space="preserve">1.1</t>
  </si>
  <si>
    <t xml:space="preserve">What is my current allocation by asset class?</t>
  </si>
  <si>
    <t xml:space="preserve">Your portfolio is 410,200.50 as of the 2026-09-02 close, allocated by market value as:
  Equity          284,713.50   69.41%
  Fixed Income     40,975.00    9.99%
  Commodity        40,278.00    9.82%
  Real Estate      28,734.00    7.00%
  Cash             15,500.00    3.78%
Prices are the 2026-09-02 settled close, the most recent available. Percentages are of total portfolio value including the cash balance (D1: market value; D2: cash included). Excluding cash, Equity is 72.13% of the 394,700.50 invested.
Not done: asset class comes from the assets table, not a live classification service. No look-through — SPY, TLT, GLD and VNQ are counted at fund level, so this describes what you hold, not the underlying economic exposure.</t>
  </si>
  <si>
    <t xml:space="preserve">1.2</t>
  </si>
  <si>
    <t xml:space="preserve">How has position X performed since purchase?</t>
  </si>
  <si>
    <t xml:space="preserve">JPM is up 15,622.00, or 78.11%, since you bought it on 2024-07-15.
  Purchased   100 shares at an average 200.00 = 20,000.00 on 2024-07-15
  Now         100 shares at 356.22            = 35,622.00
  Gain        +15,622.00  (+78.11%)
Price as of the 2026-09-02 settled close. Cost basis is the average_price recorded on the holding.
Not done: this is price return only, not total return (D4). JPM pays a dividend and none of it is counted here, because dividends are stored without a portfolio_id and cannot be attributed to a holding. Actual return is higher by an amount this system cannot currently compute. Nor does it account for a position built in tranches — one purchase date and one average price are all the holding records.</t>
  </si>
  <si>
    <t xml:space="preserve">1.3</t>
  </si>
  <si>
    <t xml:space="preserve">What is my volatility over twelve months?</t>
  </si>
  <si>
    <t xml:space="preserve">Your portfolio's annualised volatility over the past twelve months is 10.29%.
  Method      standard deviation of the portfolio's own daily returns
  Weights     market value of invested assets at the 2026-09-02 close, cash excluded
  Window      2025-09-03 to 2026-09-02, 251 daily returns from 252 closes
  Statistic   sample standard deviation, 0.00648436 daily
  Annualised  x SQRT(252)
This is portfolio volatility, not an average of the individual holdings. Those average 20.54% weighted; the portfolio is far below that because the holdings are imperfectly correlated — TLT at 9.55% and GLD at 29.21% move largely independently of the equity block.
Not done: cash is excluded from the weights. Including it, since cash has no volatility, gives 9.90% against total portfolio value. Twelve months of daily data is one estimate from one window and says nothing about volatility in a different regime.</t>
  </si>
  <si>
    <t xml:space="preserve">1.4</t>
  </si>
  <si>
    <t xml:space="preserve">What positions do I hold in sector Y?</t>
  </si>
  <si>
    <t xml:space="preserve">You hold 2 positions in Technology, worth 114,674.00, 29.05% of invested assets.
  AAPL   200 shares at 324.96   64,992.00   16.47%
  MSFT   100 shares at 496.82   49,682.00   12.59%
Prices as of the 2026-09-02 settled close. Percentages are of invested market value (394,700.50); against total portfolio value including cash the figure is 27.96%.
Important: 47.25% of invested value (186,503.00 — SPY, TLT, GLD and VNQ) carries no sector classification at all. Technology is 55.08% of the classified portion. The other classified sectors are Healthcare 10.46%, Financials 9.03% and Utilities 4.21% of invested.
Not done: no look-through into fund constituents. SPY holds a substantial technology weight that is not counted here, so true technology exposure is materially higher than 29.05%. Sector data comes from the assets table.</t>
  </si>
  <si>
    <t xml:space="preserve">Part 6 — What these values do not cover</t>
  </si>
  <si>
    <t xml:space="preserve">Price return only, not total return</t>
  </si>
  <si>
    <t xml:space="preserve">Dividends live in a table with no portfolio_id, so no dividend can be attributed to a portfolio. Any P&amp;L here understates actual return on the dividend-paying positions (JNJ, JPM, NEE, VNQ and TLT in particular).</t>
  </si>
  <si>
    <t xml:space="preserve">Single purchase date per position</t>
  </si>
  <si>
    <t xml:space="preserve">PortfolioHolding carries one purchase_date and one average_price, which cannot represent a position built in tranches. Fine for this synthetic portfolio, where each position was a single purchase. Not fine for a real portfolio with savings plans or DRIP.</t>
  </si>
  <si>
    <t xml:space="preserve">Single currency</t>
  </si>
  <si>
    <t xml:space="preserve">Everything here is USD. There is no FX conversion anywhere in the codebase, so these values say nothing about whether a multi-currency portfolio would compute correctly.</t>
  </si>
  <si>
    <t xml:space="preserve">No look-through</t>
  </si>
  <si>
    <t xml:space="preserve">SPY, TLT, GLD and VNQ are treated as having no sector. A real sector allocation would decompose SPY into its constituents. Out of scope, but it means the sector figures describe the holdings, not the underlying economic exposure.</t>
  </si>
  <si>
    <t xml:space="preserve">Part 7 — Compliance against docs/IPS.md</t>
  </si>
  <si>
    <t xml:space="preserve">Every share is market value / total portfolio value incl. cash (Positions!H16), per D1 and D2 and per the IPS header. Limits are typed in from docs/IPS.md (blue). Everything else links or computes.</t>
  </si>
  <si>
    <t xml:space="preserve">D9: a figure exactly at a limit passes. "No more than 12%" admits 12.00%; "no less than 3%" admits 3.00%. Status formulas use strict &gt; and &lt;. Do not round before comparing — MSFT and JNJ are the rows that catch a checker that does.</t>
  </si>
  <si>
    <t xml:space="preserve">Distance to limit is signed so that positive = breach, negative = headroom. In dollars: market value − limit × total (max bound) or limit × total − market value (min bound). As a fraction: dollars / total.</t>
  </si>
  <si>
    <t xml:space="preserve">Limits from docs/IPS.md</t>
  </si>
  <si>
    <t xml:space="preserve">Clause</t>
  </si>
  <si>
    <t xml:space="preserve">What</t>
  </si>
  <si>
    <t xml:space="preserve">Bound</t>
  </si>
  <si>
    <t xml:space="preserve">Limit</t>
  </si>
  <si>
    <t xml:space="preserve">Source</t>
  </si>
  <si>
    <t xml:space="preserve">IPS-3.1</t>
  </si>
  <si>
    <t xml:space="preserve">min</t>
  </si>
  <si>
    <t xml:space="preserve">docs/IPS.md</t>
  </si>
  <si>
    <t xml:space="preserve">max</t>
  </si>
  <si>
    <t xml:space="preserve">IPS-3.2</t>
  </si>
  <si>
    <t xml:space="preserve">IPS-3.3</t>
  </si>
  <si>
    <t xml:space="preserve">IPS-3.4</t>
  </si>
  <si>
    <t xml:space="preserve">IPS-3.5</t>
  </si>
  <si>
    <t xml:space="preserve">IPS-4.1</t>
  </si>
  <si>
    <t xml:space="preserve">Single instrument</t>
  </si>
  <si>
    <t xml:space="preserve">IPS-4.2</t>
  </si>
  <si>
    <t xml:space="preserve">Single issuer (direct shares)</t>
  </si>
  <si>
    <t xml:space="preserve">IPS-4.3</t>
  </si>
  <si>
    <t xml:space="preserve">Single sector (direct shares)</t>
  </si>
  <si>
    <t xml:space="preserve">Total portfolio value</t>
  </si>
  <si>
    <t xml:space="preserve">Positions!H16 — the one denominator</t>
  </si>
  <si>
    <t xml:space="preserve">Section 3 — Strategic allocation (asset-class bands)</t>
  </si>
  <si>
    <t xml:space="preserve">Market values from Alloc-AssetClass column E. Both bounds of a band are separate rows; a band is breached if either row is.</t>
  </si>
  <si>
    <t xml:space="preserve">Subject</t>
  </si>
  <si>
    <t xml:space="preserve">Share of total</t>
  </si>
  <si>
    <t xml:space="preserve">Status</t>
  </si>
  <si>
    <t xml:space="preserve">Distance ($)</t>
  </si>
  <si>
    <t xml:space="preserve">Distance (fraction)</t>
  </si>
  <si>
    <t xml:space="preserve">IPS-4.1 — Single instrument, every holding, funds included</t>
  </si>
  <si>
    <t xml:space="preserve">Market values from Positions column H.</t>
  </si>
  <si>
    <t xml:space="preserve">Instrument type (needed by IPS-4.2; the code will carry this on Asset.instrument_type)</t>
  </si>
  <si>
    <t xml:space="preserve">Type</t>
  </si>
  <si>
    <t xml:space="preserve">fund</t>
  </si>
  <si>
    <t xml:space="preserve">share</t>
  </si>
  <si>
    <t xml:space="preserve">IPS-4.2 — Single issuer, direct shares only; funds are exempt, not passed</t>
  </si>
  <si>
    <t xml:space="preserve">Status is "exempt" when the instrument type above says fund. Exempt rows carry no arithmetic; they are not "ok".</t>
  </si>
  <si>
    <t xml:space="preserve">IPS-4.3 — Single sector, direct shares; denominator is total incl. cash, NOT Part 3's invested</t>
  </si>
  <si>
    <t xml:space="preserve">Market values from Alloc-Sector column E. Technology reads 29.05% of invested on Part 3 and 27.96% of total here; both are right for their own question.</t>
  </si>
  <si>
    <t xml:space="preserve">Benchmark 3.1 — "I want to put 15% into a single position, is that allowed?"</t>
  </si>
  <si>
    <t xml:space="preserve">Proposed share</t>
  </si>
  <si>
    <t xml:space="preserve">hypothetical</t>
  </si>
  <si>
    <t xml:space="preserve">The answer cites IPS-4.1 and refuses. Not checked against holdings: the question is about a proposed weight, not a position.</t>
  </si>
  <si>
    <t xml:space="preserve">Benchmark 3.4 — "What does my investment policy say about currency risk?"</t>
  </si>
  <si>
    <t xml:space="preserve">No clause. docs/IPS.md contains nothing on currency, FX or hedging, on purpose. The expected answer says the policy is silent on it and cites no clause id. Recorded here so that absence is deliberate, not an omission.</t>
  </si>
  <si>
    <t xml:space="preserve">Summary</t>
  </si>
  <si>
    <t xml:space="preserve">Breaching findings</t>
  </si>
  <si>
    <t xml:space="preserve">expected 8: IPS-3.1 max, IPS-4.1 SPY/AAPL/MSFT, IPS-4.2 AAPL/MSFT/JNJ, IPS-4.3 Technology</t>
  </si>
  <si>
    <t xml:space="preserve">Passing findings</t>
  </si>
  <si>
    <t xml:space="preserve">Exempt rows</t>
  </si>
  <si>
    <t xml:space="preserve">Knife edges</t>
  </si>
  <si>
    <t xml:space="preserve">MSFT vs IPS-4.1 (over by ~0.11 pp) and JNJ vs IPS-4.2 (over by ~0.06 pp). Both flip on a live run; nothing in the runner asserts on which clauses breach.</t>
  </si>
  <si>
    <t xml:space="preserve">Verified by hand on</t>
  </si>
  <si>
    <t xml:space="preserve">Fill in when every row has been checked against expected_values.md Part 7.</t>
  </si>
</sst>
</file>

<file path=xl/styles.xml><?xml version="1.0" encoding="utf-8"?>
<styleSheet xmlns="http://schemas.openxmlformats.org/spreadsheetml/2006/main">
  <numFmts count="7">
    <numFmt numFmtId="164" formatCode="General"/>
    <numFmt numFmtId="165" formatCode="m/d/yyyy"/>
    <numFmt numFmtId="166" formatCode="#,##0"/>
    <numFmt numFmtId="167" formatCode="\$#,##0.00;&quot;($&quot;#,##0.00\);\-"/>
    <numFmt numFmtId="168" formatCode="0.00%;\(0.00%\);\-"/>
    <numFmt numFmtId="169" formatCode="0.0000%;\(0.0000%\);\-"/>
    <numFmt numFmtId="170" formatCode="yyyy\-mm\-dd"/>
  </numFmts>
  <fonts count="18">
    <font>
      <sz val="11"/>
      <color theme="1"/>
      <name val="Calibri"/>
      <family val="2"/>
      <charset val="1"/>
    </font>
    <font>
      <sz val="10"/>
      <name val="Arial"/>
      <family val="0"/>
    </font>
    <font>
      <sz val="10"/>
      <name val="Arial"/>
      <family val="0"/>
    </font>
    <font>
      <sz val="10"/>
      <name val="Arial"/>
      <family val="0"/>
    </font>
    <font>
      <b val="true"/>
      <sz val="14"/>
      <name val="Arial"/>
      <family val="2"/>
      <charset val="1"/>
    </font>
    <font>
      <i val="true"/>
      <sz val="9"/>
      <color rgb="FF595959"/>
      <name val="Arial"/>
      <family val="2"/>
      <charset val="1"/>
    </font>
    <font>
      <b val="true"/>
      <sz val="11"/>
      <name val="Arial"/>
      <family val="2"/>
      <charset val="1"/>
    </font>
    <font>
      <b val="true"/>
      <sz val="10"/>
      <name val="Arial"/>
      <family val="2"/>
      <charset val="1"/>
    </font>
    <font>
      <sz val="10"/>
      <name val="Arial"/>
      <family val="2"/>
      <charset val="1"/>
    </font>
    <font>
      <sz val="10"/>
      <color rgb="FF0000FF"/>
      <name val="Arial"/>
      <family val="2"/>
      <charset val="1"/>
    </font>
    <font>
      <sz val="10"/>
      <color theme="1"/>
      <name val="Arial Unicode MS"/>
      <family val="2"/>
      <charset val="1"/>
    </font>
    <font>
      <sz val="10"/>
      <name val="Arial"/>
      <family val="2"/>
    </font>
    <font>
      <b val="true"/>
      <sz val="10"/>
      <color rgb="FF000000"/>
      <name val="Helvetica Neue"/>
      <family val="2"/>
      <charset val="1"/>
    </font>
    <font>
      <sz val="10"/>
      <color rgb="FF000000"/>
      <name val="Helvetica Neue"/>
      <family val="2"/>
      <charset val="1"/>
    </font>
    <font>
      <b val="true"/>
      <sz val="11"/>
      <name val="Arial"/>
      <family val="0"/>
      <charset val="1"/>
    </font>
    <font>
      <sz val="11"/>
      <name val="Arial"/>
      <family val="0"/>
      <charset val="1"/>
    </font>
    <font>
      <sz val="11"/>
      <color rgb="FF0000FF"/>
      <name val="Arial"/>
      <family val="0"/>
      <charset val="1"/>
    </font>
    <font>
      <sz val="11"/>
      <color rgb="FF008000"/>
      <name val="Arial"/>
      <family val="0"/>
      <charset val="1"/>
    </font>
  </fonts>
  <fills count="5">
    <fill>
      <patternFill patternType="none"/>
    </fill>
    <fill>
      <patternFill patternType="gray125"/>
    </fill>
    <fill>
      <patternFill patternType="solid">
        <fgColor rgb="FFFFFF00"/>
        <bgColor rgb="FFFFFF00"/>
      </patternFill>
    </fill>
    <fill>
      <patternFill patternType="solid">
        <fgColor rgb="FFD9D9D9"/>
        <bgColor rgb="FFF2F2F2"/>
      </patternFill>
    </fill>
    <fill>
      <patternFill patternType="solid">
        <fgColor rgb="FFF2F2F2"/>
        <bgColor rgb="FFFFFFCC"/>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left"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7" fontId="9" fillId="2"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4" fontId="7"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7" fontId="7" fillId="0" borderId="2" xfId="0" applyFont="true" applyBorder="true" applyAlignment="false" applyProtection="false">
      <alignment horizontal="general" vertical="bottom" textRotation="0" wrapText="false" indent="0" shrinkToFit="false"/>
      <protection locked="true" hidden="false"/>
    </xf>
    <xf numFmtId="168" fontId="7" fillId="0" borderId="2" xfId="0" applyFont="true" applyBorder="tru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bottom" textRotation="0" wrapText="tru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tru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0" fontId="9" fillId="2"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8" fontId="7" fillId="4"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8" fontId="16" fillId="0" borderId="0" xfId="0" applyFont="true" applyBorder="false" applyAlignment="false" applyProtection="false">
      <alignment horizontal="general" vertical="bottom" textRotation="0" wrapText="false" indent="0" shrinkToFit="false"/>
      <protection locked="true" hidden="false"/>
    </xf>
    <xf numFmtId="167" fontId="17"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20" activeCellId="0" sqref="C20"/>
    </sheetView>
  </sheetViews>
  <sheetFormatPr defaultColWidth="8.6679687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26"/>
    <col collapsed="false" customWidth="true" hidden="false" outlineLevel="0" max="4" min="4" style="0" width="52"/>
  </cols>
  <sheetData>
    <row r="1" customFormat="false" ht="18" hidden="false" customHeight="tru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5" customFormat="false" ht="15" hidden="false" customHeight="false" outlineLevel="0" collapsed="false">
      <c r="A5" s="3" t="s">
        <v>3</v>
      </c>
    </row>
    <row r="6" customFormat="false" ht="15" hidden="false" customHeight="false" outlineLevel="0" collapsed="false">
      <c r="A6" s="4" t="s">
        <v>4</v>
      </c>
      <c r="B6" s="5" t="s">
        <v>5</v>
      </c>
    </row>
    <row r="7" customFormat="false" ht="15" hidden="false" customHeight="false" outlineLevel="0" collapsed="false">
      <c r="A7" s="4" t="s">
        <v>6</v>
      </c>
      <c r="B7" s="5" t="s">
        <v>7</v>
      </c>
    </row>
    <row r="8" customFormat="false" ht="15" hidden="false" customHeight="false" outlineLevel="0" collapsed="false">
      <c r="A8" s="4" t="s">
        <v>8</v>
      </c>
      <c r="B8" s="5" t="s">
        <v>9</v>
      </c>
    </row>
    <row r="9" customFormat="false" ht="15" hidden="false" customHeight="false" outlineLevel="0" collapsed="false">
      <c r="A9" s="4" t="s">
        <v>10</v>
      </c>
      <c r="B9" s="5" t="s">
        <v>11</v>
      </c>
    </row>
    <row r="11" customFormat="false" ht="15" hidden="false" customHeight="false" outlineLevel="0" collapsed="false">
      <c r="A11" s="3" t="s">
        <v>12</v>
      </c>
    </row>
    <row r="12" customFormat="false" ht="15" hidden="false" customHeight="false" outlineLevel="0" collapsed="false">
      <c r="A12" s="4" t="s">
        <v>13</v>
      </c>
      <c r="B12" s="6" t="s">
        <v>14</v>
      </c>
    </row>
    <row r="13" customFormat="false" ht="15" hidden="false" customHeight="false" outlineLevel="0" collapsed="false">
      <c r="A13" s="4" t="s">
        <v>15</v>
      </c>
      <c r="B13" s="6" t="s">
        <v>16</v>
      </c>
    </row>
    <row r="14" customFormat="false" ht="15" hidden="false" customHeight="false" outlineLevel="0" collapsed="false">
      <c r="A14" s="4" t="s">
        <v>17</v>
      </c>
      <c r="B14" s="7" t="n">
        <v>46268</v>
      </c>
    </row>
    <row r="16" customFormat="false" ht="18" hidden="false" customHeight="true" outlineLevel="0" collapsed="false">
      <c r="A16" s="1" t="s">
        <v>18</v>
      </c>
    </row>
    <row r="17" customFormat="false" ht="15" hidden="false" customHeight="false" outlineLevel="0" collapsed="false">
      <c r="A17" s="2" t="s">
        <v>19</v>
      </c>
    </row>
    <row r="19" customFormat="false" ht="15" hidden="false" customHeight="false" outlineLevel="0" collapsed="false">
      <c r="A19" s="8" t="s">
        <v>20</v>
      </c>
      <c r="B19" s="8" t="s">
        <v>21</v>
      </c>
      <c r="C19" s="8" t="s">
        <v>22</v>
      </c>
      <c r="D19" s="8" t="s">
        <v>23</v>
      </c>
    </row>
    <row r="20" customFormat="false" ht="30" hidden="false" customHeight="true" outlineLevel="0" collapsed="false">
      <c r="A20" s="9" t="s">
        <v>24</v>
      </c>
      <c r="B20" s="10" t="s">
        <v>25</v>
      </c>
      <c r="C20" s="11" t="s">
        <v>26</v>
      </c>
      <c r="D20" s="12" t="s">
        <v>27</v>
      </c>
    </row>
    <row r="21" customFormat="false" ht="30" hidden="false" customHeight="true" outlineLevel="0" collapsed="false">
      <c r="A21" s="9" t="s">
        <v>28</v>
      </c>
      <c r="B21" s="10" t="s">
        <v>29</v>
      </c>
      <c r="C21" s="11" t="s">
        <v>30</v>
      </c>
      <c r="D21" s="12" t="s">
        <v>31</v>
      </c>
    </row>
    <row r="22" customFormat="false" ht="30" hidden="false" customHeight="true" outlineLevel="0" collapsed="false">
      <c r="A22" s="9" t="s">
        <v>32</v>
      </c>
      <c r="B22" s="10" t="s">
        <v>33</v>
      </c>
      <c r="C22" s="12" t="s">
        <v>34</v>
      </c>
      <c r="D22" s="12" t="s">
        <v>35</v>
      </c>
    </row>
    <row r="23" customFormat="false" ht="30" hidden="false" customHeight="true" outlineLevel="0" collapsed="false">
      <c r="A23" s="9" t="s">
        <v>36</v>
      </c>
      <c r="B23" s="10" t="s">
        <v>37</v>
      </c>
      <c r="C23" s="11" t="s">
        <v>38</v>
      </c>
      <c r="D23" s="12" t="s">
        <v>39</v>
      </c>
    </row>
    <row r="24" customFormat="false" ht="30" hidden="false" customHeight="true" outlineLevel="0" collapsed="false">
      <c r="A24" s="9" t="s">
        <v>40</v>
      </c>
      <c r="B24" s="10" t="s">
        <v>41</v>
      </c>
      <c r="C24" s="11" t="s">
        <v>42</v>
      </c>
      <c r="D24" s="12" t="s">
        <v>43</v>
      </c>
    </row>
    <row r="25" customFormat="false" ht="30" hidden="false" customHeight="true" outlineLevel="0" collapsed="false">
      <c r="A25" s="9" t="s">
        <v>44</v>
      </c>
      <c r="B25" s="10" t="s">
        <v>45</v>
      </c>
      <c r="C25" s="11" t="n">
        <v>252</v>
      </c>
      <c r="D25" s="12" t="s">
        <v>46</v>
      </c>
    </row>
    <row r="26" customFormat="false" ht="30" hidden="false" customHeight="true" outlineLevel="0" collapsed="false">
      <c r="A26" s="9" t="s">
        <v>47</v>
      </c>
      <c r="B26" s="10" t="s">
        <v>48</v>
      </c>
      <c r="C26" s="13" t="s">
        <v>49</v>
      </c>
      <c r="D26" s="11"/>
    </row>
    <row r="29" customFormat="false" ht="15" hidden="false" customHeight="false" outlineLevel="0" collapsed="false">
      <c r="A29" s="3" t="s">
        <v>50</v>
      </c>
    </row>
    <row r="30" customFormat="false" ht="15" hidden="false" customHeight="false" outlineLevel="0" collapsed="false">
      <c r="A30" s="2" t="s">
        <v>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I24" activeCellId="0" sqref="I24"/>
    </sheetView>
  </sheetViews>
  <sheetFormatPr defaultColWidth="8.6679687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2"/>
    <col collapsed="false" customWidth="true" hidden="false" outlineLevel="0" max="4" min="4" style="0" width="8"/>
    <col collapsed="false" customWidth="true" hidden="false" outlineLevel="0" max="5" min="5" style="0" width="12"/>
    <col collapsed="false" customWidth="true" hidden="false" outlineLevel="0" max="7" min="6" style="0" width="14"/>
    <col collapsed="false" customWidth="true" hidden="false" outlineLevel="0" max="8" min="8" style="0" width="15"/>
    <col collapsed="false" customWidth="true" hidden="false" outlineLevel="0" max="9" min="9" style="0" width="13"/>
    <col collapsed="false" customWidth="true" hidden="false" outlineLevel="0" max="10" min="10" style="0" width="10"/>
    <col collapsed="false" customWidth="true" hidden="false" outlineLevel="0" max="12" min="11" style="0" width="13"/>
    <col collapsed="false" customWidth="true" hidden="false" outlineLevel="0" max="13" min="13" style="0" width="12"/>
  </cols>
  <sheetData>
    <row r="1" customFormat="false" ht="18" hidden="false" customHeight="true" outlineLevel="0" collapsed="false">
      <c r="A1" s="1" t="s">
        <v>52</v>
      </c>
    </row>
    <row r="2" customFormat="false" ht="15" hidden="false" customHeight="false" outlineLevel="0" collapsed="false">
      <c r="A2" s="2" t="s">
        <v>53</v>
      </c>
    </row>
    <row r="4" customFormat="false" ht="30" hidden="false" customHeight="true" outlineLevel="0" collapsed="false">
      <c r="A4" s="14" t="s">
        <v>54</v>
      </c>
      <c r="B4" s="14" t="s">
        <v>55</v>
      </c>
      <c r="C4" s="14" t="s">
        <v>56</v>
      </c>
      <c r="D4" s="14" t="s">
        <v>57</v>
      </c>
      <c r="E4" s="14" t="s">
        <v>58</v>
      </c>
      <c r="F4" s="14" t="s">
        <v>59</v>
      </c>
      <c r="G4" s="14" t="s">
        <v>60</v>
      </c>
      <c r="H4" s="14" t="s">
        <v>61</v>
      </c>
      <c r="I4" s="14" t="s">
        <v>62</v>
      </c>
      <c r="J4" s="14" t="s">
        <v>63</v>
      </c>
      <c r="K4" s="14" t="s">
        <v>64</v>
      </c>
      <c r="L4" s="14" t="s">
        <v>65</v>
      </c>
      <c r="M4" s="14" t="s">
        <v>66</v>
      </c>
    </row>
    <row r="5" customFormat="false" ht="15" hidden="false" customHeight="false" outlineLevel="0" collapsed="false">
      <c r="A5" s="15" t="s">
        <v>67</v>
      </c>
      <c r="B5" s="15" t="s">
        <v>68</v>
      </c>
      <c r="C5" s="15" t="s">
        <v>69</v>
      </c>
      <c r="D5" s="16" t="n">
        <v>100</v>
      </c>
      <c r="E5" s="17" t="n">
        <v>500</v>
      </c>
      <c r="F5" s="18" t="n">
        <f aca="false">D5*E5</f>
        <v>50000</v>
      </c>
      <c r="G5" s="19" t="n">
        <v>765.16</v>
      </c>
      <c r="H5" s="18" t="n">
        <f aca="false">IF(G5="","",D5*G5)</f>
        <v>76516</v>
      </c>
      <c r="I5" s="18" t="n">
        <f aca="false">IF(H5="","",H5-F5)</f>
        <v>26516</v>
      </c>
      <c r="J5" s="20" t="n">
        <f aca="false">IF(H5="","",I5/F5)</f>
        <v>0.53032</v>
      </c>
      <c r="K5" s="15" t="s">
        <v>70</v>
      </c>
      <c r="L5" s="20" t="n">
        <f aca="false">IF($H$15="","",H5/$H$15)</f>
        <v>0.193858381228298</v>
      </c>
      <c r="M5" s="20" t="n">
        <f aca="false">IF($H$16="","",H5/$H$16)</f>
        <v>0.186533170973707</v>
      </c>
    </row>
    <row r="6" customFormat="false" ht="15" hidden="false" customHeight="false" outlineLevel="0" collapsed="false">
      <c r="A6" s="15" t="s">
        <v>71</v>
      </c>
      <c r="B6" s="15" t="s">
        <v>68</v>
      </c>
      <c r="C6" s="15" t="s">
        <v>72</v>
      </c>
      <c r="D6" s="16" t="n">
        <v>200</v>
      </c>
      <c r="E6" s="17" t="n">
        <v>200</v>
      </c>
      <c r="F6" s="18" t="n">
        <f aca="false">D6*E6</f>
        <v>40000</v>
      </c>
      <c r="G6" s="19" t="n">
        <v>324.96</v>
      </c>
      <c r="H6" s="18" t="n">
        <f aca="false">IF(G6="","",D6*G6)</f>
        <v>64992</v>
      </c>
      <c r="I6" s="18" t="n">
        <f aca="false">IF(H6="","",H6-F6)</f>
        <v>24992</v>
      </c>
      <c r="J6" s="20" t="n">
        <f aca="false">IF(H6="","",I6/F6)</f>
        <v>0.6248</v>
      </c>
      <c r="K6" s="15" t="s">
        <v>73</v>
      </c>
      <c r="L6" s="20" t="n">
        <f aca="false">IF($H$15="","",H6/$H$15)</f>
        <v>0.164661559840943</v>
      </c>
      <c r="M6" s="20" t="n">
        <f aca="false">IF($H$16="","",H6/$H$16)</f>
        <v>0.158439592345694</v>
      </c>
    </row>
    <row r="7" customFormat="false" ht="15" hidden="false" customHeight="false" outlineLevel="0" collapsed="false">
      <c r="A7" s="15" t="s">
        <v>74</v>
      </c>
      <c r="B7" s="15" t="s">
        <v>68</v>
      </c>
      <c r="C7" s="15" t="s">
        <v>72</v>
      </c>
      <c r="D7" s="16" t="n">
        <v>100</v>
      </c>
      <c r="E7" s="17" t="n">
        <v>400</v>
      </c>
      <c r="F7" s="18" t="n">
        <f aca="false">D7*E7</f>
        <v>40000</v>
      </c>
      <c r="G7" s="19" t="n">
        <v>496.82</v>
      </c>
      <c r="H7" s="18" t="n">
        <f aca="false">IF(G7="","",D7*G7)</f>
        <v>49682</v>
      </c>
      <c r="I7" s="18" t="n">
        <f aca="false">IF(H7="","",H7-F7)</f>
        <v>9682</v>
      </c>
      <c r="J7" s="20" t="n">
        <f aca="false">IF(H7="","",I7/F7)</f>
        <v>0.24205</v>
      </c>
      <c r="K7" s="15" t="s">
        <v>75</v>
      </c>
      <c r="L7" s="20" t="n">
        <f aca="false">IF($H$15="","",H7/$H$15)</f>
        <v>0.125872655342469</v>
      </c>
      <c r="M7" s="20" t="n">
        <f aca="false">IF($H$16="","",H7/$H$16)</f>
        <v>0.121116380891783</v>
      </c>
    </row>
    <row r="8" customFormat="false" ht="15" hidden="false" customHeight="false" outlineLevel="0" collapsed="false">
      <c r="A8" s="15" t="s">
        <v>76</v>
      </c>
      <c r="B8" s="15" t="s">
        <v>68</v>
      </c>
      <c r="C8" s="15" t="s">
        <v>77</v>
      </c>
      <c r="D8" s="16" t="n">
        <v>150</v>
      </c>
      <c r="E8" s="17" t="n">
        <v>150</v>
      </c>
      <c r="F8" s="18" t="n">
        <f aca="false">D8*E8</f>
        <v>22500</v>
      </c>
      <c r="G8" s="19" t="n">
        <v>275.21</v>
      </c>
      <c r="H8" s="18" t="n">
        <f aca="false">IF(G8="","",D8*G8)</f>
        <v>41281.5</v>
      </c>
      <c r="I8" s="18" t="n">
        <f aca="false">IF(H8="","",H8-F8)</f>
        <v>18781.5</v>
      </c>
      <c r="J8" s="20" t="n">
        <f aca="false">IF(H8="","",I8/F8)</f>
        <v>0.834733333333333</v>
      </c>
      <c r="K8" s="15" t="s">
        <v>78</v>
      </c>
      <c r="L8" s="20" t="n">
        <f aca="false">IF($H$15="","",H8/$H$15)</f>
        <v>0.104589429200115</v>
      </c>
      <c r="M8" s="20" t="n">
        <f aca="false">IF($H$16="","",H8/$H$16)</f>
        <v>0.100637371236749</v>
      </c>
    </row>
    <row r="9" customFormat="false" ht="15" hidden="false" customHeight="false" outlineLevel="0" collapsed="false">
      <c r="A9" s="15" t="s">
        <v>79</v>
      </c>
      <c r="B9" s="15" t="s">
        <v>68</v>
      </c>
      <c r="C9" s="15" t="s">
        <v>80</v>
      </c>
      <c r="D9" s="16" t="n">
        <v>100</v>
      </c>
      <c r="E9" s="17" t="n">
        <v>200</v>
      </c>
      <c r="F9" s="18" t="n">
        <f aca="false">D9*E9</f>
        <v>20000</v>
      </c>
      <c r="G9" s="19" t="n">
        <v>356.22</v>
      </c>
      <c r="H9" s="18" t="n">
        <f aca="false">IF(G9="","",D9*G9)</f>
        <v>35622</v>
      </c>
      <c r="I9" s="18" t="n">
        <f aca="false">IF(H9="","",H9-F9)</f>
        <v>15622</v>
      </c>
      <c r="J9" s="20" t="n">
        <f aca="false">IF(H9="","",I9/F9)</f>
        <v>0.7811</v>
      </c>
      <c r="K9" s="15" t="s">
        <v>81</v>
      </c>
      <c r="L9" s="20" t="n">
        <f aca="false">IF($H$15="","",H9/$H$15)</f>
        <v>0.0902507090819495</v>
      </c>
      <c r="M9" s="20" t="n">
        <f aca="false">IF($H$16="","",H9/$H$16)</f>
        <v>0.0868404597264021</v>
      </c>
    </row>
    <row r="10" customFormat="false" ht="15" hidden="false" customHeight="false" outlineLevel="0" collapsed="false">
      <c r="A10" s="15" t="s">
        <v>82</v>
      </c>
      <c r="B10" s="15" t="s">
        <v>68</v>
      </c>
      <c r="C10" s="15" t="s">
        <v>83</v>
      </c>
      <c r="D10" s="16" t="n">
        <v>200</v>
      </c>
      <c r="E10" s="17" t="n">
        <v>75</v>
      </c>
      <c r="F10" s="18" t="n">
        <f aca="false">D10*E10</f>
        <v>15000</v>
      </c>
      <c r="G10" s="19" t="n">
        <v>83.1</v>
      </c>
      <c r="H10" s="18" t="n">
        <f aca="false">IF(G10="","",D10*G10)</f>
        <v>16620</v>
      </c>
      <c r="I10" s="18" t="n">
        <f aca="false">IF(H10="","",H10-F10)</f>
        <v>1620</v>
      </c>
      <c r="J10" s="20" t="n">
        <f aca="false">IF(H10="","",I10/F10)</f>
        <v>0.108</v>
      </c>
      <c r="K10" s="15" t="s">
        <v>84</v>
      </c>
      <c r="L10" s="20" t="n">
        <f aca="false">IF($H$15="","",H10/$H$15)</f>
        <v>0.0421078767318511</v>
      </c>
      <c r="M10" s="20" t="n">
        <f aca="false">IF($H$16="","",H10/$H$16)</f>
        <v>0.04051677167629</v>
      </c>
    </row>
    <row r="11" customFormat="false" ht="15" hidden="false" customHeight="false" outlineLevel="0" collapsed="false">
      <c r="A11" s="15" t="s">
        <v>85</v>
      </c>
      <c r="B11" s="15" t="s">
        <v>86</v>
      </c>
      <c r="C11" s="15" t="s">
        <v>69</v>
      </c>
      <c r="D11" s="16" t="n">
        <v>500</v>
      </c>
      <c r="E11" s="17" t="n">
        <v>90</v>
      </c>
      <c r="F11" s="18" t="n">
        <f aca="false">D11*E11</f>
        <v>45000</v>
      </c>
      <c r="G11" s="19" t="n">
        <v>81.95</v>
      </c>
      <c r="H11" s="18" t="n">
        <f aca="false">IF(G11="","",D11*G11)</f>
        <v>40975</v>
      </c>
      <c r="I11" s="18" t="n">
        <f aca="false">IF(H11="","",H11-F11)</f>
        <v>-4025</v>
      </c>
      <c r="J11" s="20" t="n">
        <f aca="false">IF(H11="","",I11/F11)</f>
        <v>-0.0894444444444444</v>
      </c>
      <c r="K11" s="15" t="s">
        <v>87</v>
      </c>
      <c r="L11" s="20" t="n">
        <f aca="false">IF($H$15="","",H11/$H$15)</f>
        <v>0.103812891040168</v>
      </c>
      <c r="M11" s="20" t="n">
        <f aca="false">IF($H$16="","",H11/$H$16)</f>
        <v>0.0998901756580014</v>
      </c>
    </row>
    <row r="12" customFormat="false" ht="15" hidden="false" customHeight="false" outlineLevel="0" collapsed="false">
      <c r="A12" s="15" t="s">
        <v>88</v>
      </c>
      <c r="B12" s="15" t="s">
        <v>89</v>
      </c>
      <c r="C12" s="15" t="s">
        <v>69</v>
      </c>
      <c r="D12" s="16" t="n">
        <v>100</v>
      </c>
      <c r="E12" s="17" t="n">
        <v>250</v>
      </c>
      <c r="F12" s="18" t="n">
        <f aca="false">D12*E12</f>
        <v>25000</v>
      </c>
      <c r="G12" s="19" t="n">
        <v>402.78</v>
      </c>
      <c r="H12" s="18" t="n">
        <f aca="false">IF(G12="","",D12*G12)</f>
        <v>40278</v>
      </c>
      <c r="I12" s="18" t="n">
        <f aca="false">IF(H12="","",H12-F12)</f>
        <v>15278</v>
      </c>
      <c r="J12" s="20" t="n">
        <f aca="false">IF(H12="","",I12/F12)</f>
        <v>0.61112</v>
      </c>
      <c r="K12" s="15" t="s">
        <v>90</v>
      </c>
      <c r="L12" s="20" t="n">
        <f aca="false">IF($H$15="","",H12/$H$15)</f>
        <v>0.102046995126685</v>
      </c>
      <c r="M12" s="20" t="n">
        <f aca="false">IF($H$16="","",H12/$H$16)</f>
        <v>0.0981910065931173</v>
      </c>
    </row>
    <row r="13" customFormat="false" ht="15" hidden="false" customHeight="false" outlineLevel="0" collapsed="false">
      <c r="A13" s="15" t="s">
        <v>91</v>
      </c>
      <c r="B13" s="15" t="s">
        <v>92</v>
      </c>
      <c r="C13" s="15" t="s">
        <v>69</v>
      </c>
      <c r="D13" s="16" t="n">
        <v>300</v>
      </c>
      <c r="E13" s="17" t="n">
        <v>90</v>
      </c>
      <c r="F13" s="18" t="n">
        <f aca="false">D13*E13</f>
        <v>27000</v>
      </c>
      <c r="G13" s="19" t="n">
        <v>95.78</v>
      </c>
      <c r="H13" s="18" t="n">
        <f aca="false">IF(G13="","",D13*G13)</f>
        <v>28734</v>
      </c>
      <c r="I13" s="18" t="n">
        <f aca="false">IF(H13="","",H13-F13)</f>
        <v>1734</v>
      </c>
      <c r="J13" s="20" t="n">
        <f aca="false">IF(H13="","",I13/F13)</f>
        <v>0.0642222222222222</v>
      </c>
      <c r="K13" s="15" t="s">
        <v>93</v>
      </c>
      <c r="L13" s="20" t="n">
        <f aca="false">IF($H$15="","",H13/$H$15)</f>
        <v>0.0727995024075217</v>
      </c>
      <c r="M13" s="20" t="n">
        <f aca="false">IF($H$16="","",H13/$H$16)</f>
        <v>0.0700486713204884</v>
      </c>
    </row>
    <row r="14" customFormat="false" ht="15" hidden="false" customHeight="false" outlineLevel="0" collapsed="false">
      <c r="A14" s="9" t="s">
        <v>94</v>
      </c>
      <c r="B14" s="15" t="s">
        <v>95</v>
      </c>
      <c r="C14" s="15" t="s">
        <v>69</v>
      </c>
      <c r="F14" s="17" t="n">
        <v>15500</v>
      </c>
      <c r="H14" s="17" t="n">
        <v>15500</v>
      </c>
      <c r="M14" s="20" t="n">
        <f aca="false">IF($H$16="","",H14/$H$16)</f>
        <v>0.0377863995777675</v>
      </c>
    </row>
    <row r="15" customFormat="false" ht="15" hidden="false" customHeight="false" outlineLevel="0" collapsed="false">
      <c r="A15" s="21" t="s">
        <v>96</v>
      </c>
      <c r="B15" s="22"/>
      <c r="C15" s="22"/>
      <c r="D15" s="22"/>
      <c r="E15" s="22"/>
      <c r="F15" s="23" t="n">
        <f aca="false">SUM(F5:F13)</f>
        <v>284500</v>
      </c>
      <c r="G15" s="22"/>
      <c r="H15" s="23" t="n">
        <f aca="false">IF(COUNT(H5:H13)&lt;9,"",SUM(H5:H13))</f>
        <v>394700.5</v>
      </c>
      <c r="I15" s="23" t="n">
        <f aca="false">IF(H15="","",H15-F15)</f>
        <v>110200.5</v>
      </c>
      <c r="J15" s="24" t="n">
        <f aca="false">IF(H15="","",I15/F15)</f>
        <v>0.387347978910369</v>
      </c>
      <c r="K15" s="22"/>
      <c r="L15" s="24" t="n">
        <f aca="false">IF(H15="","",SUM(L5:L13))</f>
        <v>1</v>
      </c>
      <c r="M15" s="22"/>
    </row>
    <row r="16" customFormat="false" ht="15" hidden="false" customHeight="false" outlineLevel="0" collapsed="false">
      <c r="A16" s="4" t="s">
        <v>97</v>
      </c>
      <c r="F16" s="25" t="n">
        <f aca="false">F15+F14</f>
        <v>300000</v>
      </c>
      <c r="H16" s="25" t="n">
        <f aca="false">IF(H15="","",H15+H14)</f>
        <v>410200.5</v>
      </c>
      <c r="M16" s="26" t="n">
        <f aca="false">IF(H16="","",SUM(M5:M14))</f>
        <v>1</v>
      </c>
    </row>
    <row r="18" customFormat="false" ht="15" hidden="false" customHeight="false" outlineLevel="0" collapsed="false">
      <c r="A18" s="3" t="s">
        <v>98</v>
      </c>
    </row>
    <row r="19" customFormat="false" ht="15" hidden="false" customHeight="false" outlineLevel="0" collapsed="false">
      <c r="A19" s="4" t="s">
        <v>99</v>
      </c>
      <c r="B19" s="6"/>
    </row>
    <row r="20" customFormat="false" ht="15" hidden="false" customHeight="false" outlineLevel="0" collapsed="false">
      <c r="A20" s="2" t="s">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0" width="18"/>
    <col collapsed="false" customWidth="true" hidden="false" outlineLevel="0" max="2" min="2" style="0" width="15"/>
    <col collapsed="false" customWidth="true" hidden="false" outlineLevel="0" max="3" min="3" style="0" width="14"/>
    <col collapsed="false" customWidth="true" hidden="false" outlineLevel="0" max="4" min="4" style="0" width="20"/>
    <col collapsed="false" customWidth="true" hidden="false" outlineLevel="0" max="5" min="5" style="0" width="16"/>
    <col collapsed="false" customWidth="true" hidden="false" outlineLevel="0" max="6" min="6" style="0" width="14"/>
    <col collapsed="false" customWidth="true" hidden="false" outlineLevel="0" max="7" min="7" style="0" width="20"/>
  </cols>
  <sheetData>
    <row r="1" customFormat="false" ht="18" hidden="false" customHeight="true" outlineLevel="0" collapsed="false">
      <c r="A1" s="1" t="s">
        <v>101</v>
      </c>
    </row>
    <row r="2" customFormat="false" ht="15" hidden="false" customHeight="false" outlineLevel="0" collapsed="false">
      <c r="A2" s="2" t="s">
        <v>102</v>
      </c>
    </row>
    <row r="4" customFormat="false" ht="30" hidden="false" customHeight="true" outlineLevel="0" collapsed="false">
      <c r="A4" s="14" t="s">
        <v>55</v>
      </c>
      <c r="B4" s="14" t="s">
        <v>59</v>
      </c>
      <c r="C4" s="14" t="s">
        <v>103</v>
      </c>
      <c r="D4" s="14" t="s">
        <v>104</v>
      </c>
      <c r="E4" s="14" t="s">
        <v>61</v>
      </c>
      <c r="F4" s="14" t="s">
        <v>103</v>
      </c>
      <c r="G4" s="14" t="s">
        <v>104</v>
      </c>
    </row>
    <row r="5" customFormat="false" ht="15" hidden="false" customHeight="false" outlineLevel="0" collapsed="false">
      <c r="A5" s="27" t="s">
        <v>68</v>
      </c>
      <c r="B5" s="18" t="n">
        <f aca="false">SUMIFS(Positions!$F$5:$F$14,Positions!$B$5:$B$14,A5)</f>
        <v>187500</v>
      </c>
      <c r="C5" s="20" t="n">
        <f aca="false">B5/Positions!$F$15</f>
        <v>0.659050966608084</v>
      </c>
      <c r="D5" s="20" t="n">
        <f aca="false">B5/Positions!$F$16</f>
        <v>0.625</v>
      </c>
      <c r="E5" s="18" t="n">
        <f aca="false">IF(Positions!$H$15="","",SUMIFS(Positions!$H$5:$H$14,Positions!$B$5:$B$14,A5))</f>
        <v>284713.5</v>
      </c>
      <c r="F5" s="20" t="n">
        <f aca="false">IF(E5="","",E5/Positions!$H$15)</f>
        <v>0.721340611425625</v>
      </c>
      <c r="G5" s="20" t="n">
        <f aca="false">IF(E5="","",E5/Positions!$H$16)</f>
        <v>0.694083746850626</v>
      </c>
    </row>
    <row r="6" customFormat="false" ht="15" hidden="false" customHeight="false" outlineLevel="0" collapsed="false">
      <c r="A6" s="27" t="s">
        <v>86</v>
      </c>
      <c r="B6" s="18" t="n">
        <f aca="false">SUMIFS(Positions!$F$5:$F$14,Positions!$B$5:$B$14,A6)</f>
        <v>45000</v>
      </c>
      <c r="C6" s="20" t="n">
        <f aca="false">B6/Positions!$F$15</f>
        <v>0.15817223198594</v>
      </c>
      <c r="D6" s="20" t="n">
        <f aca="false">B6/Positions!$F$16</f>
        <v>0.15</v>
      </c>
      <c r="E6" s="18" t="n">
        <f aca="false">IF(Positions!$H$15="","",SUMIFS(Positions!$H$5:$H$14,Positions!$B$5:$B$14,A6))</f>
        <v>40975</v>
      </c>
      <c r="F6" s="20" t="n">
        <f aca="false">IF(E6="","",E6/Positions!$H$15)</f>
        <v>0.103812891040168</v>
      </c>
      <c r="G6" s="20" t="n">
        <f aca="false">IF(E6="","",E6/Positions!$H$16)</f>
        <v>0.0998901756580014</v>
      </c>
    </row>
    <row r="7" customFormat="false" ht="15" hidden="false" customHeight="false" outlineLevel="0" collapsed="false">
      <c r="A7" s="27" t="s">
        <v>92</v>
      </c>
      <c r="B7" s="18" t="n">
        <f aca="false">SUMIFS(Positions!$F$5:$F$14,Positions!$B$5:$B$14,A7)</f>
        <v>27000</v>
      </c>
      <c r="C7" s="20" t="n">
        <f aca="false">B7/Positions!$F$15</f>
        <v>0.0949033391915641</v>
      </c>
      <c r="D7" s="20" t="n">
        <f aca="false">B7/Positions!$F$16</f>
        <v>0.09</v>
      </c>
      <c r="E7" s="18" t="n">
        <f aca="false">IF(Positions!$H$15="","",SUMIFS(Positions!$H$5:$H$14,Positions!$B$5:$B$14,A7))</f>
        <v>28734</v>
      </c>
      <c r="F7" s="20" t="n">
        <f aca="false">IF(E7="","",E7/Positions!$H$15)</f>
        <v>0.0727995024075217</v>
      </c>
      <c r="G7" s="20" t="n">
        <f aca="false">IF(E7="","",E7/Positions!$H$16)</f>
        <v>0.0700486713204884</v>
      </c>
    </row>
    <row r="8" customFormat="false" ht="15" hidden="false" customHeight="false" outlineLevel="0" collapsed="false">
      <c r="A8" s="27" t="s">
        <v>89</v>
      </c>
      <c r="B8" s="18" t="n">
        <f aca="false">SUMIFS(Positions!$F$5:$F$14,Positions!$B$5:$B$14,A8)</f>
        <v>25000</v>
      </c>
      <c r="C8" s="20" t="n">
        <f aca="false">B8/Positions!$F$15</f>
        <v>0.0878734622144113</v>
      </c>
      <c r="D8" s="20" t="n">
        <f aca="false">B8/Positions!$F$16</f>
        <v>0.0833333333333333</v>
      </c>
      <c r="E8" s="18" t="n">
        <f aca="false">IF(Positions!$H$15="","",SUMIFS(Positions!$H$5:$H$14,Positions!$B$5:$B$14,A8))</f>
        <v>40278</v>
      </c>
      <c r="F8" s="20" t="n">
        <f aca="false">IF(E8="","",E8/Positions!$H$15)</f>
        <v>0.102046995126685</v>
      </c>
      <c r="G8" s="20" t="n">
        <f aca="false">IF(E8="","",E8/Positions!$H$16)</f>
        <v>0.0981910065931173</v>
      </c>
    </row>
    <row r="9" customFormat="false" ht="15" hidden="false" customHeight="false" outlineLevel="0" collapsed="false">
      <c r="A9" s="27" t="s">
        <v>95</v>
      </c>
      <c r="B9" s="18" t="n">
        <f aca="false">Positions!F14</f>
        <v>15500</v>
      </c>
      <c r="C9" s="28" t="s">
        <v>105</v>
      </c>
      <c r="D9" s="20" t="n">
        <f aca="false">B9/Positions!$F$16</f>
        <v>0.0516666666666667</v>
      </c>
      <c r="E9" s="18" t="n">
        <f aca="false">Positions!H14</f>
        <v>15500</v>
      </c>
      <c r="F9" s="28" t="s">
        <v>105</v>
      </c>
      <c r="G9" s="20" t="n">
        <f aca="false">IF(Positions!$H$16="","",E9/Positions!$H$16)</f>
        <v>0.0377863995777675</v>
      </c>
    </row>
    <row r="10" customFormat="false" ht="15" hidden="false" customHeight="false" outlineLevel="0" collapsed="false">
      <c r="A10" s="21" t="s">
        <v>96</v>
      </c>
      <c r="B10" s="23" t="n">
        <f aca="false">SUM(B5:B8)</f>
        <v>284500</v>
      </c>
      <c r="C10" s="24" t="n">
        <f aca="false">SUM(C5:C8)</f>
        <v>1</v>
      </c>
      <c r="D10" s="24" t="n">
        <f aca="false">SUM(D5:D8)</f>
        <v>0.948333333333333</v>
      </c>
      <c r="E10" s="23" t="n">
        <f aca="false">IF(Positions!$H$15="","",SUM(E5:E8))</f>
        <v>394700.5</v>
      </c>
      <c r="F10" s="24" t="n">
        <f aca="false">IF(E10="","",SUM(F5:F8))</f>
        <v>1</v>
      </c>
      <c r="G10" s="24" t="n">
        <f aca="false">IF(E10="","",SUM(G5:G8))</f>
        <v>0.962213600422233</v>
      </c>
    </row>
    <row r="11" customFormat="false" ht="15" hidden="false" customHeight="false" outlineLevel="0" collapsed="false">
      <c r="A11" s="4" t="s">
        <v>97</v>
      </c>
      <c r="B11" s="25" t="n">
        <f aca="false">B10+B9</f>
        <v>300000</v>
      </c>
      <c r="D11" s="26" t="n">
        <f aca="false">D10+D9</f>
        <v>1</v>
      </c>
      <c r="E11" s="25" t="n">
        <f aca="false">IF(E10="","",E10+E9)</f>
        <v>410200.5</v>
      </c>
      <c r="G11" s="26" t="n">
        <f aca="false">IF(E10="","",G10+G9)</f>
        <v>1</v>
      </c>
    </row>
    <row r="13" customFormat="false" ht="15" hidden="false" customHeight="false" outlineLevel="0" collapsed="false">
      <c r="A13" s="3" t="s">
        <v>106</v>
      </c>
    </row>
    <row r="14" customFormat="false" ht="15" hidden="false" customHeight="false" outlineLevel="0" collapsed="false">
      <c r="A14" s="5" t="s">
        <v>107</v>
      </c>
      <c r="B14" s="4" t="str">
        <f aca="false">IF(ROUND(B10-Positions!F15,2)=0,"OK","MISMATCH")</f>
        <v>OK</v>
      </c>
    </row>
    <row r="15" customFormat="false" ht="15" hidden="false" customHeight="false" outlineLevel="0" collapsed="false">
      <c r="A15" s="5" t="s">
        <v>108</v>
      </c>
      <c r="B15" s="4" t="str">
        <f aca="false">IF(E10="","(no prices yet)",IF(ROUND(E10-Positions!H15,2)=0,"OK","MISMATCH"))</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4" activeCellId="0" sqref="B14"/>
    </sheetView>
  </sheetViews>
  <sheetFormatPr defaultColWidth="8.66796875" defaultRowHeight="15" zeroHeight="false" outlineLevelRow="0" outlineLevelCol="0"/>
  <cols>
    <col collapsed="false" customWidth="true" hidden="false" outlineLevel="0" max="1" min="1" style="0" width="22"/>
    <col collapsed="false" customWidth="true" hidden="false" outlineLevel="0" max="2" min="2" style="0" width="34"/>
    <col collapsed="false" customWidth="true" hidden="false" outlineLevel="0" max="4" min="3" style="0" width="14"/>
    <col collapsed="false" customWidth="true" hidden="false" outlineLevel="0" max="5" min="5" style="0" width="16"/>
    <col collapsed="false" customWidth="true" hidden="false" outlineLevel="0" max="7" min="6" style="0" width="14"/>
  </cols>
  <sheetData>
    <row r="1" customFormat="false" ht="18" hidden="false" customHeight="true" outlineLevel="0" collapsed="false">
      <c r="A1" s="1" t="s">
        <v>109</v>
      </c>
    </row>
    <row r="2" customFormat="false" ht="15" hidden="false" customHeight="false" outlineLevel="0" collapsed="false">
      <c r="A2" s="2" t="s">
        <v>110</v>
      </c>
    </row>
    <row r="4" customFormat="false" ht="30" hidden="false" customHeight="true" outlineLevel="0" collapsed="false">
      <c r="A4" s="14" t="s">
        <v>56</v>
      </c>
      <c r="B4" s="14" t="s">
        <v>59</v>
      </c>
      <c r="C4" s="14" t="s">
        <v>111</v>
      </c>
      <c r="D4" s="14" t="s">
        <v>103</v>
      </c>
      <c r="E4" s="14" t="s">
        <v>61</v>
      </c>
      <c r="F4" s="14" t="s">
        <v>111</v>
      </c>
      <c r="G4" s="14" t="s">
        <v>103</v>
      </c>
    </row>
    <row r="5" customFormat="false" ht="15" hidden="false" customHeight="false" outlineLevel="0" collapsed="false">
      <c r="A5" s="27" t="s">
        <v>72</v>
      </c>
      <c r="B5" s="18" t="n">
        <f aca="false">SUMIFS(Positions!$F$5:$F$13,Positions!$C$5:$C$13,A5)</f>
        <v>80000</v>
      </c>
      <c r="C5" s="20" t="n">
        <f aca="false">B5/$B$10</f>
        <v>0.581818181818182</v>
      </c>
      <c r="D5" s="20" t="n">
        <f aca="false">B5/Positions!$F$15</f>
        <v>0.281195079086116</v>
      </c>
      <c r="E5" s="18" t="n">
        <f aca="false">IF(Positions!$H$15="","",SUMIFS(Positions!$H$5:$H$13,Positions!$C$5:$C$13,A5))</f>
        <v>114674</v>
      </c>
      <c r="F5" s="20" t="n">
        <f aca="false">IF(E5="","",E5/$E$10)</f>
        <v>0.550794317895268</v>
      </c>
      <c r="G5" s="20" t="n">
        <f aca="false">IF(E5="","",E5/Positions!$H$15)</f>
        <v>0.290534215183411</v>
      </c>
    </row>
    <row r="6" customFormat="false" ht="15" hidden="false" customHeight="false" outlineLevel="0" collapsed="false">
      <c r="A6" s="27" t="s">
        <v>77</v>
      </c>
      <c r="B6" s="18" t="n">
        <f aca="false">SUMIFS(Positions!$F$5:$F$13,Positions!$C$5:$C$13,A6)</f>
        <v>22500</v>
      </c>
      <c r="C6" s="20" t="n">
        <f aca="false">B6/$B$10</f>
        <v>0.163636363636364</v>
      </c>
      <c r="D6" s="20" t="n">
        <f aca="false">B6/Positions!$F$15</f>
        <v>0.0790861159929701</v>
      </c>
      <c r="E6" s="18" t="n">
        <f aca="false">IF(Positions!$H$15="","",SUMIFS(Positions!$H$5:$H$13,Positions!$C$5:$C$13,A6))</f>
        <v>41281.5</v>
      </c>
      <c r="F6" s="20" t="n">
        <f aca="false">IF(E6="","",E6/$E$10)</f>
        <v>0.198280478872225</v>
      </c>
      <c r="G6" s="20" t="n">
        <f aca="false">IF(E6="","",E6/Positions!$H$15)</f>
        <v>0.104589429200115</v>
      </c>
    </row>
    <row r="7" customFormat="false" ht="15" hidden="false" customHeight="false" outlineLevel="0" collapsed="false">
      <c r="A7" s="27" t="s">
        <v>80</v>
      </c>
      <c r="B7" s="18" t="n">
        <f aca="false">SUMIFS(Positions!$F$5:$F$13,Positions!$C$5:$C$13,A7)</f>
        <v>20000</v>
      </c>
      <c r="C7" s="20" t="n">
        <f aca="false">B7/$B$10</f>
        <v>0.145454545454545</v>
      </c>
      <c r="D7" s="20" t="n">
        <f aca="false">B7/Positions!$F$15</f>
        <v>0.070298769771529</v>
      </c>
      <c r="E7" s="18" t="n">
        <f aca="false">IF(Positions!$H$15="","",SUMIFS(Positions!$H$5:$H$13,Positions!$C$5:$C$13,A7))</f>
        <v>35622</v>
      </c>
      <c r="F7" s="20" t="n">
        <f aca="false">IF(E7="","",E7/$E$10)</f>
        <v>0.171097155345285</v>
      </c>
      <c r="G7" s="20" t="n">
        <f aca="false">IF(E7="","",E7/Positions!$H$15)</f>
        <v>0.0902507090819495</v>
      </c>
    </row>
    <row r="8" customFormat="false" ht="15" hidden="false" customHeight="false" outlineLevel="0" collapsed="false">
      <c r="A8" s="27" t="s">
        <v>83</v>
      </c>
      <c r="B8" s="18" t="n">
        <f aca="false">SUMIFS(Positions!$F$5:$F$13,Positions!$C$5:$C$13,A8)</f>
        <v>15000</v>
      </c>
      <c r="C8" s="20" t="n">
        <f aca="false">B8/$B$10</f>
        <v>0.109090909090909</v>
      </c>
      <c r="D8" s="20" t="n">
        <f aca="false">B8/Positions!$F$15</f>
        <v>0.0527240773286468</v>
      </c>
      <c r="E8" s="18" t="n">
        <f aca="false">IF(Positions!$H$15="","",SUMIFS(Positions!$H$5:$H$13,Positions!$C$5:$C$13,A8))</f>
        <v>16620</v>
      </c>
      <c r="F8" s="20" t="n">
        <f aca="false">IF(E8="","",E8/$E$10)</f>
        <v>0.0798280478872225</v>
      </c>
      <c r="G8" s="20" t="n">
        <f aca="false">IF(E8="","",E8/Positions!$H$15)</f>
        <v>0.0421078767318511</v>
      </c>
    </row>
    <row r="9" customFormat="false" ht="15" hidden="false" customHeight="false" outlineLevel="0" collapsed="false">
      <c r="A9" s="27" t="s">
        <v>112</v>
      </c>
      <c r="B9" s="18" t="n">
        <f aca="false">SUMIFS(Positions!$F$5:$F$13,Positions!$C$5:$C$13,"(none)")</f>
        <v>147000</v>
      </c>
      <c r="C9" s="28" t="s">
        <v>105</v>
      </c>
      <c r="D9" s="20" t="n">
        <f aca="false">B9/Positions!$F$15</f>
        <v>0.516695957820738</v>
      </c>
      <c r="E9" s="18" t="n">
        <f aca="false">IF(Positions!$H$15="","",SUMIFS(Positions!$H$5:$H$13,Positions!$C$5:$C$13,"(none)"))</f>
        <v>186503</v>
      </c>
      <c r="F9" s="28" t="s">
        <v>105</v>
      </c>
      <c r="G9" s="20" t="n">
        <f aca="false">IF(E9="","",E9/Positions!$H$15)</f>
        <v>0.472517769802673</v>
      </c>
    </row>
    <row r="10" customFormat="false" ht="15" hidden="false" customHeight="false" outlineLevel="0" collapsed="false">
      <c r="A10" s="21" t="s">
        <v>113</v>
      </c>
      <c r="B10" s="23" t="n">
        <f aca="false">SUM(B5:B8)</f>
        <v>137500</v>
      </c>
      <c r="C10" s="24" t="n">
        <f aca="false">SUM(C5:C8)</f>
        <v>1</v>
      </c>
      <c r="D10" s="22"/>
      <c r="E10" s="23" t="n">
        <f aca="false">IF(Positions!$H$15="","",SUM(E5:E8))</f>
        <v>208197.5</v>
      </c>
      <c r="F10" s="24" t="n">
        <f aca="false">IF(E10="","",SUM(F5:F8))</f>
        <v>1</v>
      </c>
      <c r="G10" s="22"/>
    </row>
    <row r="11" customFormat="false" ht="15" hidden="false" customHeight="false" outlineLevel="0" collapsed="false">
      <c r="A11" s="4" t="s">
        <v>114</v>
      </c>
      <c r="B11" s="25" t="n">
        <f aca="false">B10+B9</f>
        <v>284500</v>
      </c>
      <c r="D11" s="26" t="n">
        <f aca="false">SUM(D5:D9)</f>
        <v>1</v>
      </c>
      <c r="E11" s="25" t="n">
        <f aca="false">IF(E10="","",E10+E9)</f>
        <v>394700.5</v>
      </c>
      <c r="G11" s="26" t="n">
        <f aca="false">IF(E10="","",SUM(G5:G9))</f>
        <v>1</v>
      </c>
    </row>
    <row r="13" customFormat="false" ht="15" hidden="false" customHeight="false" outlineLevel="0" collapsed="false">
      <c r="A13" s="3" t="s">
        <v>115</v>
      </c>
    </row>
    <row r="14" customFormat="false" ht="99" hidden="false" customHeight="true" outlineLevel="0" collapsed="false">
      <c r="A14" s="4" t="s">
        <v>116</v>
      </c>
      <c r="B14" s="29" t="s">
        <v>117</v>
      </c>
    </row>
    <row r="15" customFormat="false" ht="15" hidden="false" customHeight="false" outlineLevel="0" collapsed="false">
      <c r="A15" s="4" t="s">
        <v>118</v>
      </c>
      <c r="B15" s="6" t="s">
        <v>119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7" topLeftCell="A294" activePane="bottomLeft" state="frozen"/>
      <selection pane="topLeft" activeCell="A1" activeCellId="0" sqref="A1"/>
      <selection pane="bottomLeft" activeCell="M276" activeCellId="0" sqref="M276"/>
    </sheetView>
  </sheetViews>
  <sheetFormatPr defaultColWidth="8.66796875" defaultRowHeight="15" zeroHeight="false" outlineLevelRow="0" outlineLevelCol="0"/>
  <cols>
    <col collapsed="false" customWidth="true" hidden="false" outlineLevel="0" max="1" min="1" style="0" width="38"/>
    <col collapsed="false" customWidth="true" hidden="false" outlineLevel="0" max="11" min="2" style="0" width="12"/>
    <col collapsed="false" customWidth="true" hidden="false" outlineLevel="0" max="12" min="12" style="0" width="16"/>
    <col collapsed="false" customWidth="true" hidden="false" outlineLevel="0" max="22" min="14" style="0" width="11"/>
  </cols>
  <sheetData>
    <row r="1" customFormat="false" ht="18" hidden="false" customHeight="true" outlineLevel="0" collapsed="false">
      <c r="A1" s="1" t="s">
        <v>120</v>
      </c>
    </row>
    <row r="2" customFormat="false" ht="15" hidden="false" customHeight="false" outlineLevel="0" collapsed="false">
      <c r="A2" s="2" t="s">
        <v>121</v>
      </c>
    </row>
    <row r="3" customFormat="false" ht="15" hidden="false" customHeight="false" outlineLevel="0" collapsed="false">
      <c r="A3" s="2" t="s">
        <v>122</v>
      </c>
    </row>
    <row r="5" customFormat="false" ht="15" hidden="false" customHeight="false" outlineLevel="0" collapsed="false">
      <c r="A5" s="3" t="s">
        <v>123</v>
      </c>
    </row>
    <row r="6" customFormat="false" ht="15" hidden="false" customHeight="false" outlineLevel="0" collapsed="false">
      <c r="A6" s="4" t="s">
        <v>124</v>
      </c>
      <c r="B6" s="30" t="n">
        <v>252</v>
      </c>
    </row>
    <row r="7" customFormat="false" ht="15" hidden="false" customHeight="false" outlineLevel="0" collapsed="false">
      <c r="A7" s="4" t="s">
        <v>125</v>
      </c>
      <c r="B7" s="6" t="s">
        <v>126</v>
      </c>
    </row>
    <row r="8" customFormat="false" ht="15" hidden="false" customHeight="false" outlineLevel="0" collapsed="false">
      <c r="A8" s="4" t="s">
        <v>127</v>
      </c>
      <c r="B8" s="2" t="s">
        <v>128</v>
      </c>
    </row>
    <row r="10" customFormat="false" ht="15" hidden="false" customHeight="false" outlineLevel="0" collapsed="false">
      <c r="A10" s="3" t="s">
        <v>129</v>
      </c>
    </row>
    <row r="11" customFormat="false" ht="15" hidden="false" customHeight="false" outlineLevel="0" collapsed="false">
      <c r="A11" s="8" t="s">
        <v>54</v>
      </c>
      <c r="B11" s="8" t="s">
        <v>67</v>
      </c>
      <c r="C11" s="8" t="s">
        <v>71</v>
      </c>
      <c r="D11" s="8" t="s">
        <v>74</v>
      </c>
      <c r="E11" s="8" t="s">
        <v>76</v>
      </c>
      <c r="F11" s="8" t="s">
        <v>79</v>
      </c>
      <c r="G11" s="8" t="s">
        <v>82</v>
      </c>
      <c r="H11" s="8" t="s">
        <v>85</v>
      </c>
      <c r="I11" s="8" t="s">
        <v>88</v>
      </c>
      <c r="J11" s="8" t="s">
        <v>91</v>
      </c>
      <c r="K11" s="8" t="s">
        <v>130</v>
      </c>
    </row>
    <row r="12" customFormat="false" ht="15" hidden="false" customHeight="false" outlineLevel="0" collapsed="false">
      <c r="A12" s="9" t="s">
        <v>131</v>
      </c>
      <c r="B12" s="20" t="n">
        <f aca="false">Positions!L5</f>
        <v>0.193858381228298</v>
      </c>
      <c r="C12" s="20" t="n">
        <f aca="false">Positions!L6</f>
        <v>0.164661559840943</v>
      </c>
      <c r="D12" s="20" t="n">
        <f aca="false">Positions!L7</f>
        <v>0.125872655342469</v>
      </c>
      <c r="E12" s="20" t="n">
        <f aca="false">Positions!L8</f>
        <v>0.104589429200115</v>
      </c>
      <c r="F12" s="20" t="n">
        <f aca="false">Positions!L9</f>
        <v>0.0902507090819495</v>
      </c>
      <c r="G12" s="20" t="n">
        <f aca="false">Positions!L10</f>
        <v>0.0421078767318511</v>
      </c>
      <c r="H12" s="20" t="n">
        <f aca="false">Positions!L11</f>
        <v>0.103812891040168</v>
      </c>
      <c r="I12" s="20" t="n">
        <f aca="false">Positions!L12</f>
        <v>0.102046995126685</v>
      </c>
      <c r="J12" s="20" t="n">
        <f aca="false">Positions!L13</f>
        <v>0.0727995024075217</v>
      </c>
      <c r="K12" s="31" t="n">
        <f aca="false">SUM(B12:J12)</f>
        <v>1</v>
      </c>
    </row>
    <row r="14" customFormat="false" ht="15" hidden="false" customHeight="false" outlineLevel="0" collapsed="false">
      <c r="A14" s="3" t="s">
        <v>132</v>
      </c>
    </row>
    <row r="15" customFormat="false" ht="15" hidden="false" customHeight="false" outlineLevel="0" collapsed="false">
      <c r="A15" s="2" t="s">
        <v>133</v>
      </c>
    </row>
    <row r="17" customFormat="false" ht="30" hidden="false" customHeight="true" outlineLevel="0" collapsed="false">
      <c r="A17" s="8" t="s">
        <v>134</v>
      </c>
      <c r="B17" s="8" t="s">
        <v>67</v>
      </c>
      <c r="C17" s="8" t="s">
        <v>71</v>
      </c>
      <c r="D17" s="8" t="s">
        <v>74</v>
      </c>
      <c r="E17" s="8" t="s">
        <v>76</v>
      </c>
      <c r="F17" s="8" t="s">
        <v>79</v>
      </c>
      <c r="G17" s="8" t="s">
        <v>82</v>
      </c>
      <c r="H17" s="8" t="s">
        <v>85</v>
      </c>
      <c r="I17" s="8" t="s">
        <v>88</v>
      </c>
      <c r="J17" s="8" t="s">
        <v>91</v>
      </c>
      <c r="L17" s="32" t="s">
        <v>135</v>
      </c>
      <c r="N17" s="8" t="s">
        <v>136</v>
      </c>
      <c r="O17" s="8" t="s">
        <v>137</v>
      </c>
      <c r="P17" s="8" t="s">
        <v>138</v>
      </c>
      <c r="Q17" s="8" t="s">
        <v>139</v>
      </c>
      <c r="R17" s="8" t="s">
        <v>140</v>
      </c>
      <c r="S17" s="8" t="s">
        <v>141</v>
      </c>
      <c r="T17" s="8" t="s">
        <v>142</v>
      </c>
      <c r="U17" s="8" t="s">
        <v>143</v>
      </c>
      <c r="V17" s="8" t="s">
        <v>144</v>
      </c>
    </row>
    <row r="18" customFormat="false" ht="15" hidden="false" customHeight="false" outlineLevel="0" collapsed="false">
      <c r="A18" s="33" t="n">
        <v>45903</v>
      </c>
      <c r="B18" s="34" t="n">
        <v>643.739990234375</v>
      </c>
      <c r="C18" s="34" t="n">
        <v>238.470001220703</v>
      </c>
      <c r="D18" s="34" t="n">
        <v>505.350006103516</v>
      </c>
      <c r="E18" s="34" t="n">
        <v>178</v>
      </c>
      <c r="F18" s="34" t="n">
        <v>299.510009765625</v>
      </c>
      <c r="G18" s="34" t="n">
        <v>71.629997253418</v>
      </c>
      <c r="H18" s="34" t="n">
        <v>86.5699996948242</v>
      </c>
      <c r="I18" s="34" t="n">
        <v>328.140014648438</v>
      </c>
      <c r="J18" s="34" t="n">
        <v>90.7600021362305</v>
      </c>
      <c r="L18" s="35"/>
      <c r="N18" s="35"/>
      <c r="O18" s="35"/>
      <c r="P18" s="35"/>
      <c r="Q18" s="35"/>
      <c r="R18" s="35"/>
      <c r="S18" s="35"/>
      <c r="T18" s="35"/>
      <c r="U18" s="35"/>
      <c r="V18" s="35"/>
    </row>
    <row r="19" customFormat="false" ht="15" hidden="false" customHeight="false" outlineLevel="0" collapsed="false">
      <c r="A19" s="33" t="n">
        <v>45904</v>
      </c>
      <c r="B19" s="34" t="n">
        <v>649.119995117188</v>
      </c>
      <c r="C19" s="34" t="n">
        <v>239.779998779297</v>
      </c>
      <c r="D19" s="34" t="n">
        <v>507.970001220703</v>
      </c>
      <c r="E19" s="34" t="n">
        <v>178.759994506836</v>
      </c>
      <c r="F19" s="34" t="n">
        <v>303.820007324219</v>
      </c>
      <c r="G19" s="34" t="n">
        <v>70.870002746582</v>
      </c>
      <c r="H19" s="34" t="n">
        <v>87.2300033569336</v>
      </c>
      <c r="I19" s="34" t="n">
        <v>326.690002441406</v>
      </c>
      <c r="J19" s="34" t="n">
        <v>91.4400024414063</v>
      </c>
      <c r="L19" s="35" t="n">
        <f aca="false">IF(COUNT(N19:V19)&lt;9,"",SUMPRODUCT($B$12:$J$12,N19:V19))</f>
        <v>0.00536176656250901</v>
      </c>
      <c r="N19" s="35" t="n">
        <f aca="false">IF(OR(B19="",B18="",B18=0),"",B19/B18-1)</f>
        <v>0.00835741908911736</v>
      </c>
      <c r="O19" s="35" t="n">
        <f aca="false">IF(OR(C19="",C18="",C18=0),"",C19/C18-1)</f>
        <v>0.00549334319574046</v>
      </c>
      <c r="P19" s="35" t="n">
        <f aca="false">IF(OR(D19="",D18="",D18=0),"",D19/D18-1)</f>
        <v>0.00518451585147561</v>
      </c>
      <c r="Q19" s="35" t="n">
        <f aca="false">IF(OR(E19="",E18="",E18=0),"",E19/E18-1)</f>
        <v>0.00426963206087638</v>
      </c>
      <c r="R19" s="35" t="n">
        <f aca="false">IF(OR(F19="",F18="",F18=0),"",F19/F18-1)</f>
        <v>0.0143901619914695</v>
      </c>
      <c r="S19" s="35" t="n">
        <f aca="false">IF(OR(G19="",G18="",G18=0),"",G19/G18-1)</f>
        <v>-0.0106100032943911</v>
      </c>
      <c r="T19" s="35" t="n">
        <f aca="false">IF(OR(H19="",H18="",H18=0),"",H19/H18-1)</f>
        <v>0.00762393051214083</v>
      </c>
      <c r="U19" s="35" t="n">
        <f aca="false">IF(OR(I19="",I18="",I18=0),"",I19/I18-1)</f>
        <v>-0.00441888261809675</v>
      </c>
      <c r="V19" s="35" t="n">
        <f aca="false">IF(OR(J19="",J18="",J18=0),"",J19/J18-1)</f>
        <v>0.00749229053735734</v>
      </c>
    </row>
    <row r="20" customFormat="false" ht="15" hidden="false" customHeight="false" outlineLevel="0" collapsed="false">
      <c r="A20" s="33" t="n">
        <v>45905</v>
      </c>
      <c r="B20" s="34" t="n">
        <v>647.239990234375</v>
      </c>
      <c r="C20" s="34" t="n">
        <v>239.690002441406</v>
      </c>
      <c r="D20" s="34" t="n">
        <v>495</v>
      </c>
      <c r="E20" s="34" t="n">
        <v>178.429992675781</v>
      </c>
      <c r="F20" s="34" t="n">
        <v>294.380004882813</v>
      </c>
      <c r="G20" s="34" t="n">
        <v>70.9000015258789</v>
      </c>
      <c r="H20" s="34" t="n">
        <v>88.5599975585938</v>
      </c>
      <c r="I20" s="34" t="n">
        <v>331.049987792969</v>
      </c>
      <c r="J20" s="34" t="n">
        <v>92.4700012207031</v>
      </c>
      <c r="L20" s="35" t="n">
        <f aca="false">IF(COUNT(N20:V20)&lt;9,"",SUMPRODUCT($B$12:$J$12,N20:V20))</f>
        <v>-0.00305183202615862</v>
      </c>
      <c r="N20" s="35" t="n">
        <f aca="false">IF(OR(B20="",B19="",B19=0),"",B20/B19-1)</f>
        <v>-0.00289623628443847</v>
      </c>
      <c r="O20" s="35" t="n">
        <f aca="false">IF(OR(C20="",C19="",C19=0),"",C20/C19-1)</f>
        <v>-0.000375328794516516</v>
      </c>
      <c r="P20" s="35" t="n">
        <f aca="false">IF(OR(D20="",D19="",D19=0),"",D20/D19-1)</f>
        <v>-0.0255330062592964</v>
      </c>
      <c r="Q20" s="35" t="n">
        <f aca="false">IF(OR(E20="",E19="",E19=0),"",E20/E19-1)</f>
        <v>-0.00184606087041683</v>
      </c>
      <c r="R20" s="35" t="n">
        <f aca="false">IF(OR(F20="",F19="",F19=0),"",F20/F19-1)</f>
        <v>-0.0310710361853561</v>
      </c>
      <c r="S20" s="35" t="n">
        <f aca="false">IF(OR(G20="",G19="",G19=0),"",G20/G19-1)</f>
        <v>0.000423293045495932</v>
      </c>
      <c r="T20" s="35" t="n">
        <f aca="false">IF(OR(H20="",H19="",H19=0),"",H20/H19-1)</f>
        <v>0.0152469809753193</v>
      </c>
      <c r="U20" s="35" t="n">
        <f aca="false">IF(OR(I20="",I19="",I19=0),"",I20/I19-1)</f>
        <v>0.0133459405521446</v>
      </c>
      <c r="V20" s="35" t="n">
        <f aca="false">IF(OR(J20="",J19="",J19=0),"",J20/J19-1)</f>
        <v>0.0112642033223567</v>
      </c>
    </row>
    <row r="21" customFormat="false" ht="15" hidden="false" customHeight="false" outlineLevel="0" collapsed="false">
      <c r="A21" s="33" t="n">
        <v>45908</v>
      </c>
      <c r="B21" s="34" t="n">
        <v>648.830017089844</v>
      </c>
      <c r="C21" s="34" t="n">
        <v>237.880004882813</v>
      </c>
      <c r="D21" s="34" t="n">
        <v>498.200012207031</v>
      </c>
      <c r="E21" s="34" t="n">
        <v>178.130004882813</v>
      </c>
      <c r="F21" s="34" t="n">
        <v>292.910003662109</v>
      </c>
      <c r="G21" s="34" t="n">
        <v>69.7699966430664</v>
      </c>
      <c r="H21" s="34" t="n">
        <v>89.7399978637695</v>
      </c>
      <c r="I21" s="34" t="n">
        <v>334.820007324219</v>
      </c>
      <c r="J21" s="34" t="n">
        <v>91.9300003051758</v>
      </c>
      <c r="L21" s="35" t="n">
        <f aca="false">IF(COUNT(N21:V21)&lt;9,"",SUMPRODUCT($B$12:$J$12,N21:V21))</f>
        <v>0.000869128680286052</v>
      </c>
      <c r="N21" s="35" t="n">
        <f aca="false">IF(OR(B21="",B20="",B20=0),"",B21/B20-1)</f>
        <v>0.00245662641286004</v>
      </c>
      <c r="O21" s="35" t="n">
        <f aca="false">IF(OR(C21="",C20="",C20=0),"",C21/C20-1)</f>
        <v>-0.00755141032232021</v>
      </c>
      <c r="P21" s="35" t="n">
        <f aca="false">IF(OR(D21="",D20="",D20=0),"",D21/D20-1)</f>
        <v>0.00646467112531512</v>
      </c>
      <c r="Q21" s="35" t="n">
        <f aca="false">IF(OR(E21="",E20="",E20=0),"",E21/E20-1)</f>
        <v>-0.00168126327008866</v>
      </c>
      <c r="R21" s="35" t="n">
        <f aca="false">IF(OR(F21="",F20="",F20=0),"",F21/F20-1)</f>
        <v>-0.0049935498210526</v>
      </c>
      <c r="S21" s="35" t="n">
        <f aca="false">IF(OR(G21="",G20="",G20=0),"",G21/G20-1)</f>
        <v>-0.0159380092876309</v>
      </c>
      <c r="T21" s="35" t="n">
        <f aca="false">IF(OR(H21="",H20="",H20=0),"",H21/H20-1)</f>
        <v>0.0133243037229644</v>
      </c>
      <c r="U21" s="35" t="n">
        <f aca="false">IF(OR(I21="",I20="",I20=0),"",I21/I20-1)</f>
        <v>0.011388067271604</v>
      </c>
      <c r="V21" s="35" t="n">
        <f aca="false">IF(OR(J21="",J20="",J20=0),"",J21/J20-1)</f>
        <v>-0.00583974162862233</v>
      </c>
    </row>
    <row r="22" customFormat="false" ht="15" hidden="false" customHeight="false" outlineLevel="0" collapsed="false">
      <c r="A22" s="33" t="n">
        <v>45909</v>
      </c>
      <c r="B22" s="34" t="n">
        <v>650.330017089844</v>
      </c>
      <c r="C22" s="34" t="n">
        <v>234.350006103516</v>
      </c>
      <c r="D22" s="34" t="n">
        <v>498.410003662109</v>
      </c>
      <c r="E22" s="34" t="n">
        <v>176.960006713867</v>
      </c>
      <c r="F22" s="34" t="n">
        <v>297.850006103516</v>
      </c>
      <c r="G22" s="34" t="n">
        <v>70.0699996948242</v>
      </c>
      <c r="H22" s="34" t="n">
        <v>89.2300033569336</v>
      </c>
      <c r="I22" s="34" t="n">
        <v>334.059997558594</v>
      </c>
      <c r="J22" s="34" t="n">
        <v>91.7200012207031</v>
      </c>
      <c r="L22" s="35" t="n">
        <f aca="false">IF(COUNT(N22:V22)&lt;9,"",SUMPRODUCT($B$12:$J$12,N22:V22))</f>
        <v>-0.00191396600806485</v>
      </c>
      <c r="N22" s="35" t="n">
        <f aca="false">IF(OR(B22="",B21="",B21=0),"",B22/B21-1)</f>
        <v>0.00231185358335884</v>
      </c>
      <c r="O22" s="35" t="n">
        <f aca="false">IF(OR(C22="",C21="",C21=0),"",C22/C21-1)</f>
        <v>-0.0148394093948165</v>
      </c>
      <c r="P22" s="35" t="n">
        <f aca="false">IF(OR(D22="",D21="",D21=0),"",D22/D21-1)</f>
        <v>0.000421500300948896</v>
      </c>
      <c r="Q22" s="35" t="n">
        <f aca="false">IF(OR(E22="",E21="",E21=0),"",E22/E21-1)</f>
        <v>-0.00656822622171782</v>
      </c>
      <c r="R22" s="35" t="n">
        <f aca="false">IF(OR(F22="",F21="",F21=0),"",F22/F21-1)</f>
        <v>0.0168652568353578</v>
      </c>
      <c r="S22" s="35" t="n">
        <f aca="false">IF(OR(G22="",G21="",G21=0),"",G22/G21-1)</f>
        <v>0.00429988628625821</v>
      </c>
      <c r="T22" s="35" t="n">
        <f aca="false">IF(OR(H22="",H21="",H21=0),"",H22/H21-1)</f>
        <v>-0.00568302338952709</v>
      </c>
      <c r="U22" s="35" t="n">
        <f aca="false">IF(OR(I22="",I21="",I21=0),"",I22/I21-1)</f>
        <v>-0.00226990546860917</v>
      </c>
      <c r="V22" s="35" t="n">
        <f aca="false">IF(OR(J22="",J21="",J21=0),"",J22/J21-1)</f>
        <v>-0.00228433681905338</v>
      </c>
    </row>
    <row r="23" customFormat="false" ht="15" hidden="false" customHeight="false" outlineLevel="0" collapsed="false">
      <c r="A23" s="33" t="n">
        <v>45910</v>
      </c>
      <c r="B23" s="34" t="n">
        <v>652.210021972656</v>
      </c>
      <c r="C23" s="34" t="n">
        <v>226.789993286133</v>
      </c>
      <c r="D23" s="34" t="n">
        <v>500.369995117188</v>
      </c>
      <c r="E23" s="34" t="n">
        <v>175.789993286133</v>
      </c>
      <c r="F23" s="34" t="n">
        <v>300.540008544922</v>
      </c>
      <c r="G23" s="34" t="n">
        <v>71.0400009155273</v>
      </c>
      <c r="H23" s="34" t="n">
        <v>89.7399978637695</v>
      </c>
      <c r="I23" s="34" t="n">
        <v>335.260009765625</v>
      </c>
      <c r="J23" s="34" t="n">
        <v>91.5699996948242</v>
      </c>
      <c r="L23" s="35" t="n">
        <f aca="false">IF(COUNT(N23:V23)&lt;9,"",SUMPRODUCT($B$12:$J$12,N23:V23))</f>
        <v>-0.00270914766598656</v>
      </c>
      <c r="N23" s="35" t="n">
        <f aca="false">IF(OR(B23="",B22="",B22=0),"",B23/B22-1)</f>
        <v>0.00289084746729795</v>
      </c>
      <c r="O23" s="35" t="n">
        <f aca="false">IF(OR(C23="",C22="",C22=0),"",C23/C22-1)</f>
        <v>-0.0322594948601948</v>
      </c>
      <c r="P23" s="35" t="n">
        <f aca="false">IF(OR(D23="",D22="",D22=0),"",D23/D22-1)</f>
        <v>0.00393248819381209</v>
      </c>
      <c r="Q23" s="35" t="n">
        <f aca="false">IF(OR(E23="",E22="",E22=0),"",E23/E22-1)</f>
        <v>-0.0066117392820052</v>
      </c>
      <c r="R23" s="35" t="n">
        <f aca="false">IF(OR(F23="",F22="",F22=0),"",F23/F22-1)</f>
        <v>0.0090313996517799</v>
      </c>
      <c r="S23" s="35" t="n">
        <f aca="false">IF(OR(G23="",G22="",G22=0),"",G23/G22-1)</f>
        <v>0.0138433170390715</v>
      </c>
      <c r="T23" s="35" t="n">
        <f aca="false">IF(OR(H23="",H22="",H22=0),"",H23/H22-1)</f>
        <v>0.00571550473662819</v>
      </c>
      <c r="U23" s="35" t="n">
        <f aca="false">IF(OR(I23="",I22="",I22=0),"",I23/I22-1)</f>
        <v>0.00359220563911</v>
      </c>
      <c r="V23" s="35" t="n">
        <f aca="false">IF(OR(J23="",J22="",J22=0),"",J23/J22-1)</f>
        <v>-0.00163542873836153</v>
      </c>
    </row>
    <row r="24" customFormat="false" ht="15" hidden="false" customHeight="false" outlineLevel="0" collapsed="false">
      <c r="A24" s="33" t="n">
        <v>45911</v>
      </c>
      <c r="B24" s="34" t="n">
        <v>657.630004882813</v>
      </c>
      <c r="C24" s="34" t="n">
        <v>230.029998779297</v>
      </c>
      <c r="D24" s="34" t="n">
        <v>501.010009765625</v>
      </c>
      <c r="E24" s="34" t="n">
        <v>178.5</v>
      </c>
      <c r="F24" s="34" t="n">
        <v>305.559997558594</v>
      </c>
      <c r="G24" s="34" t="n">
        <v>71.3199996948242</v>
      </c>
      <c r="H24" s="34" t="n">
        <v>90.3399963378906</v>
      </c>
      <c r="I24" s="34" t="n">
        <v>334.760009765625</v>
      </c>
      <c r="J24" s="34" t="n">
        <v>93.2399978637695</v>
      </c>
      <c r="L24" s="35" t="n">
        <f aca="false">IF(COUNT(N24:V24)&lt;9,"",SUMPRODUCT($B$12:$J$12,N24:V24))</f>
        <v>0.00927979796620884</v>
      </c>
      <c r="N24" s="35" t="n">
        <f aca="false">IF(OR(B24="",B23="",B23=0),"",B24/B23-1)</f>
        <v>0.00831018035227937</v>
      </c>
      <c r="O24" s="35" t="n">
        <f aca="false">IF(OR(C24="",C23="",C23=0),"",C24/C23-1)</f>
        <v>0.0142863688393702</v>
      </c>
      <c r="P24" s="35" t="n">
        <f aca="false">IF(OR(D24="",D23="",D23=0),"",D24/D23-1)</f>
        <v>0.00127908278810174</v>
      </c>
      <c r="Q24" s="35" t="n">
        <f aca="false">IF(OR(E24="",E23="",E23=0),"",E24/E23-1)</f>
        <v>0.0154161602899427</v>
      </c>
      <c r="R24" s="35" t="n">
        <f aca="false">IF(OR(F24="",F23="",F23=0),"",F24/F23-1)</f>
        <v>0.0167032304217216</v>
      </c>
      <c r="S24" s="35" t="n">
        <f aca="false">IF(OR(G24="",G23="",G23=0),"",G24/G23-1)</f>
        <v>0.00394142420732568</v>
      </c>
      <c r="T24" s="35" t="n">
        <f aca="false">IF(OR(H24="",H23="",H23=0),"",H24/H23-1)</f>
        <v>0.00668596488080953</v>
      </c>
      <c r="U24" s="35" t="n">
        <f aca="false">IF(OR(I24="",I23="",I23=0),"",I24/I23-1)</f>
        <v>-0.00149137978117209</v>
      </c>
      <c r="V24" s="35" t="n">
        <f aca="false">IF(OR(J24="",J23="",J23=0),"",J24/J23-1)</f>
        <v>0.0182373940647691</v>
      </c>
    </row>
    <row r="25" customFormat="false" ht="15" hidden="false" customHeight="false" outlineLevel="0" collapsed="false">
      <c r="A25" s="33" t="n">
        <v>45912</v>
      </c>
      <c r="B25" s="34" t="n">
        <v>657.409973144531</v>
      </c>
      <c r="C25" s="34" t="n">
        <v>234.070007324219</v>
      </c>
      <c r="D25" s="34" t="n">
        <v>509.899993896484</v>
      </c>
      <c r="E25" s="34" t="n">
        <v>178.059997558594</v>
      </c>
      <c r="F25" s="34" t="n">
        <v>306.910003662109</v>
      </c>
      <c r="G25" s="34" t="n">
        <v>71.6399993896484</v>
      </c>
      <c r="H25" s="34" t="n">
        <v>89.9499969482422</v>
      </c>
      <c r="I25" s="34" t="n">
        <v>335.420013427734</v>
      </c>
      <c r="J25" s="34" t="n">
        <v>92.8099975585938</v>
      </c>
      <c r="L25" s="35" t="n">
        <f aca="false">IF(COUNT(N25:V25)&lt;9,"",SUMPRODUCT($B$12:$J$12,N25:V25))</f>
        <v>0.00480773810163785</v>
      </c>
      <c r="N25" s="35" t="n">
        <f aca="false">IF(OR(B25="",B24="",B24=0),"",B25/B24-1)</f>
        <v>-0.000334582875854528</v>
      </c>
      <c r="O25" s="35" t="n">
        <f aca="false">IF(OR(C25="",C24="",C24=0),"",C25/C24-1)</f>
        <v>0.0175629638149857</v>
      </c>
      <c r="P25" s="35" t="n">
        <f aca="false">IF(OR(D25="",D24="",D24=0),"",D25/D24-1)</f>
        <v>0.0177441247830912</v>
      </c>
      <c r="Q25" s="35" t="n">
        <f aca="false">IF(OR(E25="",E24="",E24=0),"",E25/E24-1)</f>
        <v>-0.0024649996717423</v>
      </c>
      <c r="R25" s="35" t="n">
        <f aca="false">IF(OR(F25="",F24="",F24=0),"",F25/F24-1)</f>
        <v>0.0044181375648038</v>
      </c>
      <c r="S25" s="35" t="n">
        <f aca="false">IF(OR(G25="",G24="",G24=0),"",G25/G24-1)</f>
        <v>0.00448681570658249</v>
      </c>
      <c r="T25" s="35" t="n">
        <f aca="false">IF(OR(H25="",H24="",H24=0),"",H25/H24-1)</f>
        <v>-0.00431701799266981</v>
      </c>
      <c r="U25" s="35" t="n">
        <f aca="false">IF(OR(I25="",I24="",I24=0),"",I25/I24-1)</f>
        <v>0.0019715725978473</v>
      </c>
      <c r="V25" s="35" t="n">
        <f aca="false">IF(OR(J25="",J24="",J24=0),"",J25/J24-1)</f>
        <v>-0.00461175799042768</v>
      </c>
    </row>
    <row r="26" customFormat="false" ht="15" hidden="false" customHeight="false" outlineLevel="0" collapsed="false">
      <c r="A26" s="33" t="n">
        <v>45915</v>
      </c>
      <c r="B26" s="34" t="n">
        <v>660.909973144531</v>
      </c>
      <c r="C26" s="34" t="n">
        <v>236.699996948242</v>
      </c>
      <c r="D26" s="34" t="n">
        <v>515.359985351563</v>
      </c>
      <c r="E26" s="34" t="n">
        <v>177.399993896484</v>
      </c>
      <c r="F26" s="34" t="n">
        <v>308.899993896484</v>
      </c>
      <c r="G26" s="34" t="n">
        <v>71.5</v>
      </c>
      <c r="H26" s="34" t="n">
        <v>90.1600036621094</v>
      </c>
      <c r="I26" s="34" t="n">
        <v>338.910003662109</v>
      </c>
      <c r="J26" s="34" t="n">
        <v>92.6600036621094</v>
      </c>
      <c r="L26" s="35" t="n">
        <f aca="false">IF(COUNT(N26:V26)&lt;9,"",SUMPRODUCT($B$12:$J$12,N26:V26))</f>
        <v>0.00553176913964998</v>
      </c>
      <c r="N26" s="35" t="n">
        <f aca="false">IF(OR(B26="",B25="",B25=0),"",B26/B25-1)</f>
        <v>0.00532392288370498</v>
      </c>
      <c r="O26" s="35" t="n">
        <f aca="false">IF(OR(C26="",C25="",C25=0),"",C26/C25-1)</f>
        <v>0.0112359103760786</v>
      </c>
      <c r="P26" s="35" t="n">
        <f aca="false">IF(OR(D26="",D25="",D25=0),"",D26/D25-1)</f>
        <v>0.010707965327388</v>
      </c>
      <c r="Q26" s="35" t="n">
        <f aca="false">IF(OR(E26="",E25="",E25=0),"",E26/E25-1)</f>
        <v>-0.00370663636504209</v>
      </c>
      <c r="R26" s="35" t="n">
        <f aca="false">IF(OR(F26="",F25="",F25=0),"",F26/F25-1)</f>
        <v>0.00648395363666898</v>
      </c>
      <c r="S26" s="35" t="n">
        <f aca="false">IF(OR(G26="",G25="",G25=0),"",G26/G25-1)</f>
        <v>-0.00195420701899984</v>
      </c>
      <c r="T26" s="35" t="n">
        <f aca="false">IF(OR(H26="",H25="",H25=0),"",H26/H25-1)</f>
        <v>0.00233470506939582</v>
      </c>
      <c r="U26" s="35" t="n">
        <f aca="false">IF(OR(I26="",I25="",I25=0),"",I26/I25-1)</f>
        <v>0.0104048360105589</v>
      </c>
      <c r="V26" s="35" t="n">
        <f aca="false">IF(OR(J26="",J25="",J25=0),"",J26/J25-1)</f>
        <v>-0.00161613942926464</v>
      </c>
    </row>
    <row r="27" customFormat="false" ht="15" hidden="false" customHeight="false" outlineLevel="0" collapsed="false">
      <c r="A27" s="33" t="n">
        <v>45916</v>
      </c>
      <c r="B27" s="34" t="n">
        <v>660</v>
      </c>
      <c r="C27" s="34" t="n">
        <v>238.149993896484</v>
      </c>
      <c r="D27" s="34" t="n">
        <v>509.040008544922</v>
      </c>
      <c r="E27" s="34" t="n">
        <v>176.460006713867</v>
      </c>
      <c r="F27" s="34" t="n">
        <v>309.190002441406</v>
      </c>
      <c r="G27" s="34" t="n">
        <v>69.8300018310547</v>
      </c>
      <c r="H27" s="34" t="n">
        <v>90.3499984741211</v>
      </c>
      <c r="I27" s="34" t="n">
        <v>339.589996337891</v>
      </c>
      <c r="J27" s="34" t="n">
        <v>92.1699981689453</v>
      </c>
      <c r="L27" s="35" t="n">
        <f aca="false">IF(COUNT(N27:V27)&lt;9,"",SUMPRODUCT($B$12:$J$12,N27:V27))</f>
        <v>-0.00221623920564869</v>
      </c>
      <c r="N27" s="35" t="n">
        <f aca="false">IF(OR(B27="",B26="",B26=0),"",B27/B26-1)</f>
        <v>-0.00137684886218536</v>
      </c>
      <c r="O27" s="35" t="n">
        <f aca="false">IF(OR(C27="",C26="",C26=0),"",C27/C26-1)</f>
        <v>0.00612588494692323</v>
      </c>
      <c r="P27" s="35" t="n">
        <f aca="false">IF(OR(D27="",D26="",D26=0),"",D27/D26-1)</f>
        <v>-0.0122632276200677</v>
      </c>
      <c r="Q27" s="35" t="n">
        <f aca="false">IF(OR(E27="",E26="",E26=0),"",E27/E26-1)</f>
        <v>-0.00529868779570264</v>
      </c>
      <c r="R27" s="35" t="n">
        <f aca="false">IF(OR(F27="",F26="",F26=0),"",F27/F26-1)</f>
        <v>0.000938842831506248</v>
      </c>
      <c r="S27" s="35" t="n">
        <f aca="false">IF(OR(G27="",G26="",G26=0),"",G27/G26-1)</f>
        <v>-0.0233566177474867</v>
      </c>
      <c r="T27" s="35" t="n">
        <f aca="false">IF(OR(H27="",H26="",H26=0),"",H27/H26-1)</f>
        <v>0.00210730705739248</v>
      </c>
      <c r="U27" s="35" t="n">
        <f aca="false">IF(OR(I27="",I26="",I26=0),"",I27/I26-1)</f>
        <v>0.0020064107533988</v>
      </c>
      <c r="V27" s="35" t="n">
        <f aca="false">IF(OR(J27="",J26="",J26=0),"",J27/J26-1)</f>
        <v>-0.00528820930064866</v>
      </c>
    </row>
    <row r="28" customFormat="false" ht="15" hidden="false" customHeight="false" outlineLevel="0" collapsed="false">
      <c r="A28" s="33" t="n">
        <v>45917</v>
      </c>
      <c r="B28" s="34" t="n">
        <v>659.179992675781</v>
      </c>
      <c r="C28" s="34" t="n">
        <v>238.990005493164</v>
      </c>
      <c r="D28" s="34" t="n">
        <v>510.019989013672</v>
      </c>
      <c r="E28" s="34" t="n">
        <v>177.199996948242</v>
      </c>
      <c r="F28" s="34" t="n">
        <v>311.75</v>
      </c>
      <c r="G28" s="34" t="n">
        <v>70.3099975585938</v>
      </c>
      <c r="H28" s="34" t="n">
        <v>90.120002746582</v>
      </c>
      <c r="I28" s="34" t="n">
        <v>336.970001220703</v>
      </c>
      <c r="J28" s="34" t="n">
        <v>92.0500030517578</v>
      </c>
      <c r="L28" s="35" t="n">
        <f aca="false">IF(COUNT(N28:V28)&lt;9,"",SUMPRODUCT($B$12:$J$12,N28:V28))</f>
        <v>0.000911201118085657</v>
      </c>
      <c r="N28" s="35" t="n">
        <f aca="false">IF(OR(B28="",B27="",B27=0),"",B28/B27-1)</f>
        <v>-0.00124243533972568</v>
      </c>
      <c r="O28" s="35" t="n">
        <f aca="false">IF(OR(C28="",C27="",C27=0),"",C28/C27-1)</f>
        <v>0.00352723753184359</v>
      </c>
      <c r="P28" s="35" t="n">
        <f aca="false">IF(OR(D28="",D27="",D27=0),"",D28/D27-1)</f>
        <v>0.00192515411814331</v>
      </c>
      <c r="Q28" s="35" t="n">
        <f aca="false">IF(OR(E28="",E27="",E27=0),"",E28/E27-1)</f>
        <v>0.00419352944701457</v>
      </c>
      <c r="R28" s="35" t="n">
        <f aca="false">IF(OR(F28="",F27="",F27=0),"",F28/F27-1)</f>
        <v>0.00827969060571143</v>
      </c>
      <c r="S28" s="35" t="n">
        <f aca="false">IF(OR(G28="",G27="",G27=0),"",G28/G27-1)</f>
        <v>0.00687377509598797</v>
      </c>
      <c r="T28" s="35" t="n">
        <f aca="false">IF(OR(H28="",H27="",H27=0),"",H28/H27-1)</f>
        <v>-0.00254560853816688</v>
      </c>
      <c r="U28" s="35" t="n">
        <f aca="false">IF(OR(I28="",I27="",I27=0),"",I28/I27-1)</f>
        <v>-0.00771517166418856</v>
      </c>
      <c r="V28" s="35" t="n">
        <f aca="false">IF(OR(J28="",J27="",J27=0),"",J28/J27-1)</f>
        <v>-0.00130188911328344</v>
      </c>
    </row>
    <row r="29" customFormat="false" ht="15" hidden="false" customHeight="false" outlineLevel="0" collapsed="false">
      <c r="A29" s="33" t="n">
        <v>45918</v>
      </c>
      <c r="B29" s="34" t="n">
        <v>662.260009765625</v>
      </c>
      <c r="C29" s="34" t="n">
        <v>237.880004882813</v>
      </c>
      <c r="D29" s="34" t="n">
        <v>508.450012207031</v>
      </c>
      <c r="E29" s="34" t="n">
        <v>174.160003662109</v>
      </c>
      <c r="F29" s="34" t="n">
        <v>313.230010986328</v>
      </c>
      <c r="G29" s="34" t="n">
        <v>70.7900009155273</v>
      </c>
      <c r="H29" s="34" t="n">
        <v>89.1900024414063</v>
      </c>
      <c r="I29" s="34" t="n">
        <v>335.619995117188</v>
      </c>
      <c r="J29" s="34" t="n">
        <v>92.25</v>
      </c>
      <c r="L29" s="35" t="n">
        <f aca="false">IF(COUNT(N29:V29)&lt;9,"",SUMPRODUCT($B$12:$J$12,N29:V29))</f>
        <v>-0.00264678997394257</v>
      </c>
      <c r="N29" s="35" t="n">
        <f aca="false">IF(OR(B29="",B28="",B28=0),"",B29/B28-1)</f>
        <v>0.0046724978368069</v>
      </c>
      <c r="O29" s="35" t="n">
        <f aca="false">IF(OR(C29="",C28="",C28=0),"",C29/C28-1)</f>
        <v>-0.0046445482440175</v>
      </c>
      <c r="P29" s="35" t="n">
        <f aca="false">IF(OR(D29="",D28="",D28=0),"",D29/D28-1)</f>
        <v>-0.00307826524540178</v>
      </c>
      <c r="Q29" s="35" t="n">
        <f aca="false">IF(OR(E29="",E28="",E28=0),"",E29/E28-1)</f>
        <v>-0.0171557186144926</v>
      </c>
      <c r="R29" s="35" t="n">
        <f aca="false">IF(OR(F29="",F28="",F28=0),"",F29/F28-1)</f>
        <v>0.00474742898581559</v>
      </c>
      <c r="S29" s="35" t="n">
        <f aca="false">IF(OR(G29="",G28="",G28=0),"",G29/G28-1)</f>
        <v>0.00682695738303041</v>
      </c>
      <c r="T29" s="35" t="n">
        <f aca="false">IF(OR(H29="",H28="",H28=0),"",H29/H28-1)</f>
        <v>-0.0103195769732816</v>
      </c>
      <c r="U29" s="35" t="n">
        <f aca="false">IF(OR(I29="",I28="",I28=0),"",I29/I28-1)</f>
        <v>-0.00400630945966851</v>
      </c>
      <c r="V29" s="35" t="n">
        <f aca="false">IF(OR(J29="",J28="",J28=0),"",J29/J28-1)</f>
        <v>0.00217269898546069</v>
      </c>
    </row>
    <row r="30" customFormat="false" ht="15" hidden="false" customHeight="false" outlineLevel="0" collapsed="false">
      <c r="A30" s="33" t="n">
        <v>45919</v>
      </c>
      <c r="B30" s="34" t="n">
        <v>663.700012207031</v>
      </c>
      <c r="C30" s="34" t="n">
        <v>245.5</v>
      </c>
      <c r="D30" s="34" t="n">
        <v>517.929992675781</v>
      </c>
      <c r="E30" s="34" t="n">
        <v>176.190002441406</v>
      </c>
      <c r="F30" s="34" t="n">
        <v>314.779998779297</v>
      </c>
      <c r="G30" s="34" t="n">
        <v>71.0800018310547</v>
      </c>
      <c r="H30" s="34" t="n">
        <v>89.0199966430664</v>
      </c>
      <c r="I30" s="34" t="n">
        <v>339.179992675781</v>
      </c>
      <c r="J30" s="34" t="n">
        <v>91.6500015258789</v>
      </c>
      <c r="L30" s="35" t="n">
        <f aca="false">IF(COUNT(N30:V30)&lt;9,"",SUMPRODUCT($B$12:$J$12,N30:V30))</f>
        <v>0.0102922439100657</v>
      </c>
      <c r="N30" s="35" t="n">
        <f aca="false">IF(OR(B30="",B29="",B29=0),"",B30/B29-1)</f>
        <v>0.00217437625731876</v>
      </c>
      <c r="O30" s="35" t="n">
        <f aca="false">IF(OR(C30="",C29="",C29=0),"",C30/C29-1)</f>
        <v>0.0320329366099552</v>
      </c>
      <c r="P30" s="35" t="n">
        <f aca="false">IF(OR(D30="",D29="",D29=0),"",D30/D29-1)</f>
        <v>0.0186448623092763</v>
      </c>
      <c r="Q30" s="35" t="n">
        <f aca="false">IF(OR(E30="",E29="",E29=0),"",E30/E29-1)</f>
        <v>0.0116559412988726</v>
      </c>
      <c r="R30" s="35" t="n">
        <f aca="false">IF(OR(F30="",F29="",F29=0),"",F30/F29-1)</f>
        <v>0.00494840129810115</v>
      </c>
      <c r="S30" s="35" t="n">
        <f aca="false">IF(OR(G30="",G29="",G29=0),"",G30/G29-1)</f>
        <v>0.00409663669694615</v>
      </c>
      <c r="T30" s="35" t="n">
        <f aca="false">IF(OR(H30="",H29="",H29=0),"",H30/H29-1)</f>
        <v>-0.00190610823731718</v>
      </c>
      <c r="U30" s="35" t="n">
        <f aca="false">IF(OR(I30="",I29="",I29=0),"",I30/I29-1)</f>
        <v>0.0106072272522082</v>
      </c>
      <c r="V30" s="35" t="n">
        <f aca="false">IF(OR(J30="",J29="",J29=0),"",J30/J29-1)</f>
        <v>-0.00650404849995767</v>
      </c>
    </row>
    <row r="31" customFormat="false" ht="15" hidden="false" customHeight="false" outlineLevel="0" collapsed="false">
      <c r="A31" s="33" t="n">
        <v>45922</v>
      </c>
      <c r="B31" s="34" t="n">
        <v>666.840026855469</v>
      </c>
      <c r="C31" s="34" t="n">
        <v>256.079986572266</v>
      </c>
      <c r="D31" s="34" t="n">
        <v>514.450012207031</v>
      </c>
      <c r="E31" s="34" t="n">
        <v>174.210006713867</v>
      </c>
      <c r="F31" s="34" t="n">
        <v>312.440002441406</v>
      </c>
      <c r="G31" s="34" t="n">
        <v>72.3499984741211</v>
      </c>
      <c r="H31" s="34" t="n">
        <v>88.6999969482422</v>
      </c>
      <c r="I31" s="34" t="n">
        <v>345.049987792969</v>
      </c>
      <c r="J31" s="34" t="n">
        <v>91.6699981689453</v>
      </c>
      <c r="L31" s="35" t="n">
        <f aca="false">IF(COUNT(N31:V31)&lt;9,"",SUMPRODUCT($B$12:$J$12,N31:V31))</f>
        <v>0.00748248188998551</v>
      </c>
      <c r="N31" s="35" t="n">
        <f aca="false">IF(OR(B31="",B30="",B30=0),"",B31/B30-1)</f>
        <v>0.00473107517053717</v>
      </c>
      <c r="O31" s="35" t="n">
        <f aca="false">IF(OR(C31="",C30="",C30=0),"",C31/C30-1)</f>
        <v>0.0430956683188026</v>
      </c>
      <c r="P31" s="35" t="n">
        <f aca="false">IF(OR(D31="",D30="",D30=0),"",D31/D30-1)</f>
        <v>-0.00671901708331546</v>
      </c>
      <c r="Q31" s="35" t="n">
        <f aca="false">IF(OR(E31="",E30="",E30=0),"",E31/E30-1)</f>
        <v>-0.0112378438055671</v>
      </c>
      <c r="R31" s="35" t="n">
        <f aca="false">IF(OR(F31="",F30="",F30=0),"",F31/F30-1)</f>
        <v>-0.00743375165819105</v>
      </c>
      <c r="S31" s="35" t="n">
        <f aca="false">IF(OR(G31="",G30="",G30=0),"",G31/G30-1)</f>
        <v>0.0178671442086475</v>
      </c>
      <c r="T31" s="35" t="n">
        <f aca="false">IF(OR(H31="",H30="",H30=0),"",H31/H30-1)</f>
        <v>-0.0035946945280988</v>
      </c>
      <c r="U31" s="35" t="n">
        <f aca="false">IF(OR(I31="",I30="",I30=0),"",I31/I30-1)</f>
        <v>0.0173064309332627</v>
      </c>
      <c r="V31" s="35" t="n">
        <f aca="false">IF(OR(J31="",J30="",J30=0),"",J31/J30-1)</f>
        <v>0.000218184863431281</v>
      </c>
    </row>
    <row r="32" customFormat="false" ht="15" hidden="false" customHeight="false" outlineLevel="0" collapsed="false">
      <c r="A32" s="33" t="n">
        <v>45923</v>
      </c>
      <c r="B32" s="34" t="n">
        <v>663.210021972656</v>
      </c>
      <c r="C32" s="34" t="n">
        <v>254.429992675781</v>
      </c>
      <c r="D32" s="34" t="n">
        <v>509.230010986328</v>
      </c>
      <c r="E32" s="34" t="n">
        <v>176.580001831055</v>
      </c>
      <c r="F32" s="34" t="n">
        <v>312.739990234375</v>
      </c>
      <c r="G32" s="34" t="n">
        <v>72.3199996948242</v>
      </c>
      <c r="H32" s="34" t="n">
        <v>89.3199996948242</v>
      </c>
      <c r="I32" s="34" t="n">
        <v>346.459991455078</v>
      </c>
      <c r="J32" s="34" t="n">
        <v>92.1699981689453</v>
      </c>
      <c r="L32" s="35" t="n">
        <f aca="false">IF(COUNT(N32:V32)&lt;9,"",SUMPRODUCT($B$12:$J$12,N32:V32))</f>
        <v>-0.000361674861898726</v>
      </c>
      <c r="N32" s="35" t="n">
        <f aca="false">IF(OR(B32="",B31="",B31=0),"",B32/B31-1)</f>
        <v>-0.00544359177107368</v>
      </c>
      <c r="O32" s="35" t="n">
        <f aca="false">IF(OR(C32="",C31="",C31=0),"",C32/C31-1)</f>
        <v>-0.00644327547252277</v>
      </c>
      <c r="P32" s="35" t="n">
        <f aca="false">IF(OR(D32="",D31="",D31=0),"",D32/D31-1)</f>
        <v>-0.010146760806378</v>
      </c>
      <c r="Q32" s="35" t="n">
        <f aca="false">IF(OR(E32="",E31="",E31=0),"",E32/E31-1)</f>
        <v>0.013604242155163</v>
      </c>
      <c r="R32" s="35" t="n">
        <f aca="false">IF(OR(F32="",F31="",F31=0),"",F32/F31-1)</f>
        <v>0.000960145277892899</v>
      </c>
      <c r="S32" s="35" t="n">
        <f aca="false">IF(OR(G32="",G31="",G31=0),"",G32/G31-1)</f>
        <v>-0.000414634138625747</v>
      </c>
      <c r="T32" s="35" t="n">
        <f aca="false">IF(OR(H32="",H31="",H31=0),"",H32/H31-1)</f>
        <v>0.0069898846438945</v>
      </c>
      <c r="U32" s="35" t="n">
        <f aca="false">IF(OR(I32="",I31="",I31=0),"",I32/I31-1)</f>
        <v>0.00408637505286635</v>
      </c>
      <c r="V32" s="35" t="n">
        <f aca="false">IF(OR(J32="",J31="",J31=0),"",J32/J31-1)</f>
        <v>0.00545434722359772</v>
      </c>
    </row>
    <row r="33" customFormat="false" ht="15" hidden="false" customHeight="false" outlineLevel="0" collapsed="false">
      <c r="A33" s="33" t="n">
        <v>45924</v>
      </c>
      <c r="B33" s="34" t="n">
        <v>661.099975585938</v>
      </c>
      <c r="C33" s="34" t="n">
        <v>252.309997558594</v>
      </c>
      <c r="D33" s="34" t="n">
        <v>510.149993896484</v>
      </c>
      <c r="E33" s="34" t="n">
        <v>176.690002441406</v>
      </c>
      <c r="F33" s="34" t="n">
        <v>313.420013427734</v>
      </c>
      <c r="G33" s="34" t="n">
        <v>73.8300018310547</v>
      </c>
      <c r="H33" s="34" t="n">
        <v>88.9800033569336</v>
      </c>
      <c r="I33" s="34" t="n">
        <v>343.320007324219</v>
      </c>
      <c r="J33" s="34" t="n">
        <v>90.4000015258789</v>
      </c>
      <c r="L33" s="35" t="n">
        <f aca="false">IF(COUNT(N33:V33)&lt;9,"",SUMPRODUCT($B$12:$J$12,N33:V33))</f>
        <v>-0.00333883307481752</v>
      </c>
      <c r="N33" s="35" t="n">
        <f aca="false">IF(OR(B33="",B32="",B32=0),"",B33/B32-1)</f>
        <v>-0.00318156589437824</v>
      </c>
      <c r="O33" s="35" t="n">
        <f aca="false">IF(OR(C33="",C32="",C32=0),"",C33/C32-1)</f>
        <v>-0.00833233179347881</v>
      </c>
      <c r="P33" s="35" t="n">
        <f aca="false">IF(OR(D33="",D32="",D32=0),"",D33/D32-1)</f>
        <v>0.00180661565561313</v>
      </c>
      <c r="Q33" s="35" t="n">
        <f aca="false">IF(OR(E33="",E32="",E32=0),"",E33/E32-1)</f>
        <v>0.000622950556180335</v>
      </c>
      <c r="R33" s="35" t="n">
        <f aca="false">IF(OR(F33="",F32="",F32=0),"",F33/F32-1)</f>
        <v>0.0021744043441625</v>
      </c>
      <c r="S33" s="35" t="n">
        <f aca="false">IF(OR(G33="",G32="",G32=0),"",G33/G32-1)</f>
        <v>0.0208794544054536</v>
      </c>
      <c r="T33" s="35" t="n">
        <f aca="false">IF(OR(H33="",H32="",H32=0),"",H33/H32-1)</f>
        <v>-0.00380649730242122</v>
      </c>
      <c r="U33" s="35" t="n">
        <f aca="false">IF(OR(I33="",I32="",I32=0),"",I33/I32-1)</f>
        <v>-0.00906304972667005</v>
      </c>
      <c r="V33" s="35" t="n">
        <f aca="false">IF(OR(J33="",J32="",J32=0),"",J33/J32-1)</f>
        <v>-0.0192036093981691</v>
      </c>
    </row>
    <row r="34" customFormat="false" ht="15" hidden="false" customHeight="false" outlineLevel="0" collapsed="false">
      <c r="A34" s="33" t="n">
        <v>45925</v>
      </c>
      <c r="B34" s="34" t="n">
        <v>658.049987792969</v>
      </c>
      <c r="C34" s="34" t="n">
        <v>256.869995117188</v>
      </c>
      <c r="D34" s="34" t="n">
        <v>507.029998779297</v>
      </c>
      <c r="E34" s="34" t="n">
        <v>177.729995727539</v>
      </c>
      <c r="F34" s="34" t="n">
        <v>313.450012207031</v>
      </c>
      <c r="G34" s="34" t="n">
        <v>74.6500015258789</v>
      </c>
      <c r="H34" s="34" t="n">
        <v>88.9800033569336</v>
      </c>
      <c r="I34" s="34" t="n">
        <v>344.75</v>
      </c>
      <c r="J34" s="34" t="n">
        <v>90.129997253418</v>
      </c>
      <c r="L34" s="35" t="n">
        <f aca="false">IF(COUNT(N34:V34)&lt;9,"",SUMPRODUCT($B$12:$J$12,N34:V34))</f>
        <v>0.00261127798128626</v>
      </c>
      <c r="N34" s="35" t="n">
        <f aca="false">IF(OR(B34="",B33="",B33=0),"",B34/B33-1)</f>
        <v>-0.00461350462199872</v>
      </c>
      <c r="O34" s="35" t="n">
        <f aca="false">IF(OR(C34="",C33="",C33=0),"",C34/C33-1)</f>
        <v>0.0180729959284909</v>
      </c>
      <c r="P34" s="35" t="n">
        <f aca="false">IF(OR(D34="",D33="",D33=0),"",D34/D33-1)</f>
        <v>-0.00611583878176047</v>
      </c>
      <c r="Q34" s="35" t="n">
        <f aca="false">IF(OR(E34="",E33="",E33=0),"",E34/E33-1)</f>
        <v>0.00588597697528415</v>
      </c>
      <c r="R34" s="35" t="n">
        <f aca="false">IF(OR(F34="",F33="",F33=0),"",F34/F33-1)</f>
        <v>9.57143067188415E-005</v>
      </c>
      <c r="S34" s="35" t="n">
        <f aca="false">IF(OR(G34="",G33="",G33=0),"",G34/G33-1)</f>
        <v>0.0111065918256457</v>
      </c>
      <c r="T34" s="35" t="n">
        <f aca="false">IF(OR(H34="",H33="",H33=0),"",H34/H33-1)</f>
        <v>0</v>
      </c>
      <c r="U34" s="35" t="n">
        <f aca="false">IF(OR(I34="",I33="",I33=0),"",I34/I33-1)</f>
        <v>0.00416518887706596</v>
      </c>
      <c r="V34" s="35" t="n">
        <f aca="false">IF(OR(J34="",J33="",J33=0),"",J34/J33-1)</f>
        <v>-0.00298677287503824</v>
      </c>
    </row>
    <row r="35" customFormat="false" ht="15" hidden="false" customHeight="false" outlineLevel="0" collapsed="false">
      <c r="A35" s="33" t="n">
        <v>45926</v>
      </c>
      <c r="B35" s="34" t="n">
        <v>661.820007324219</v>
      </c>
      <c r="C35" s="34" t="n">
        <v>255.460006713867</v>
      </c>
      <c r="D35" s="34" t="n">
        <v>511.459991455078</v>
      </c>
      <c r="E35" s="34" t="n">
        <v>179.710006713867</v>
      </c>
      <c r="F35" s="34" t="n">
        <v>316.059997558594</v>
      </c>
      <c r="G35" s="34" t="n">
        <v>75.8499984741211</v>
      </c>
      <c r="H35" s="34" t="n">
        <v>88.9000015258789</v>
      </c>
      <c r="I35" s="34" t="n">
        <v>346.739990234375</v>
      </c>
      <c r="J35" s="34" t="n">
        <v>91.0199966430664</v>
      </c>
      <c r="L35" s="35" t="n">
        <f aca="false">IF(COUNT(N35:V35)&lt;9,"",SUMPRODUCT($B$12:$J$12,N35:V35))</f>
        <v>0.0051146757831468</v>
      </c>
      <c r="N35" s="35" t="n">
        <f aca="false">IF(OR(B35="",B34="",B34=0),"",B35/B34-1)</f>
        <v>0.0057290777314567</v>
      </c>
      <c r="O35" s="35" t="n">
        <f aca="false">IF(OR(C35="",C34="",C34=0),"",C35/C34-1)</f>
        <v>-0.00548911289805476</v>
      </c>
      <c r="P35" s="35" t="n">
        <f aca="false">IF(OR(D35="",D34="",D34=0),"",D35/D34-1)</f>
        <v>0.0087371411680699</v>
      </c>
      <c r="Q35" s="35" t="n">
        <f aca="false">IF(OR(E35="",E34="",E34=0),"",E35/E34-1)</f>
        <v>0.0111405560902806</v>
      </c>
      <c r="R35" s="35" t="n">
        <f aca="false">IF(OR(F35="",F34="",F34=0),"",F35/F34-1)</f>
        <v>0.00832663981470549</v>
      </c>
      <c r="S35" s="35" t="n">
        <f aca="false">IF(OR(G35="",G34="",G34=0),"",G35/G34-1)</f>
        <v>0.016074975535348</v>
      </c>
      <c r="T35" s="35" t="n">
        <f aca="false">IF(OR(H35="",H34="",H34=0),"",H35/H34-1)</f>
        <v>-0.000899098988946689</v>
      </c>
      <c r="U35" s="35" t="n">
        <f aca="false">IF(OR(I35="",I34="",I34=0),"",I35/I34-1)</f>
        <v>0.00577227044053652</v>
      </c>
      <c r="V35" s="35" t="n">
        <f aca="false">IF(OR(J35="",J34="",J34=0),"",J35/J34-1)</f>
        <v>0.00987461906989751</v>
      </c>
    </row>
    <row r="36" customFormat="false" ht="15" hidden="false" customHeight="false" outlineLevel="0" collapsed="false">
      <c r="A36" s="33" t="n">
        <v>45929</v>
      </c>
      <c r="B36" s="34" t="n">
        <v>663.679992675781</v>
      </c>
      <c r="C36" s="34" t="n">
        <v>254.429992675781</v>
      </c>
      <c r="D36" s="34" t="n">
        <v>514.599975585938</v>
      </c>
      <c r="E36" s="34" t="n">
        <v>181.619995117188</v>
      </c>
      <c r="F36" s="34" t="n">
        <v>315.690002441406</v>
      </c>
      <c r="G36" s="34" t="n">
        <v>76.2099990844727</v>
      </c>
      <c r="H36" s="34" t="n">
        <v>89.629997253418</v>
      </c>
      <c r="I36" s="34" t="n">
        <v>352.459991455078</v>
      </c>
      <c r="J36" s="34" t="n">
        <v>91.0500030517578</v>
      </c>
      <c r="L36" s="35" t="n">
        <f aca="false">IF(COUNT(N36:V36)&lt;9,"",SUMPRODUCT($B$12:$J$12,N36:V36))</f>
        <v>0.0044193377473296</v>
      </c>
      <c r="N36" s="35" t="n">
        <f aca="false">IF(OR(B36="",B35="",B35=0),"",B36/B35-1)</f>
        <v>0.00281040967480273</v>
      </c>
      <c r="O36" s="35" t="n">
        <f aca="false">IF(OR(C36="",C35="",C35=0),"",C36/C35-1)</f>
        <v>-0.00403199722467584</v>
      </c>
      <c r="P36" s="35" t="n">
        <f aca="false">IF(OR(D36="",D35="",D35=0),"",D36/D35-1)</f>
        <v>0.0061392566052465</v>
      </c>
      <c r="Q36" s="35" t="n">
        <f aca="false">IF(OR(E36="",E35="",E35=0),"",E36/E35-1)</f>
        <v>0.0106281694505865</v>
      </c>
      <c r="R36" s="35" t="n">
        <f aca="false">IF(OR(F36="",F35="",F35=0),"",F36/F35-1)</f>
        <v>-0.00117064835805225</v>
      </c>
      <c r="S36" s="35" t="n">
        <f aca="false">IF(OR(G36="",G35="",G35=0),"",G36/G35-1)</f>
        <v>0.00474621776656248</v>
      </c>
      <c r="T36" s="35" t="n">
        <f aca="false">IF(OR(H36="",H35="",H35=0),"",H36/H35-1)</f>
        <v>0.00821142536568553</v>
      </c>
      <c r="U36" s="35" t="n">
        <f aca="false">IF(OR(I36="",I35="",I35=0),"",I36/I35-1)</f>
        <v>0.0164965143387028</v>
      </c>
      <c r="V36" s="35" t="n">
        <f aca="false">IF(OR(J36="",J35="",J35=0),"",J36/J35-1)</f>
        <v>0.000329668312437637</v>
      </c>
    </row>
    <row r="37" customFormat="false" ht="15" hidden="false" customHeight="false" outlineLevel="0" collapsed="false">
      <c r="A37" s="33" t="n">
        <v>45930</v>
      </c>
      <c r="B37" s="34" t="n">
        <v>666.179992675781</v>
      </c>
      <c r="C37" s="34" t="n">
        <v>254.630004882813</v>
      </c>
      <c r="D37" s="34" t="n">
        <v>517.950012207031</v>
      </c>
      <c r="E37" s="34" t="n">
        <v>185.419998168945</v>
      </c>
      <c r="F37" s="34" t="n">
        <v>315.429992675781</v>
      </c>
      <c r="G37" s="34" t="n">
        <v>75.4899978637695</v>
      </c>
      <c r="H37" s="34" t="n">
        <v>89.370002746582</v>
      </c>
      <c r="I37" s="34" t="n">
        <v>355.470001220703</v>
      </c>
      <c r="J37" s="34" t="n">
        <v>91.4199981689453</v>
      </c>
      <c r="L37" s="35" t="n">
        <f aca="false">IF(COUNT(N37:V37)&lt;9,"",SUMPRODUCT($B$12:$J$12,N37:V37))</f>
        <v>0.00426144572862368</v>
      </c>
      <c r="N37" s="35" t="n">
        <f aca="false">IF(OR(B37="",B36="",B36=0),"",B37/B36-1)</f>
        <v>0.00376687564427036</v>
      </c>
      <c r="O37" s="35" t="n">
        <f aca="false">IF(OR(C37="",C36="",C36=0),"",C37/C36-1)</f>
        <v>0.000786118825569782</v>
      </c>
      <c r="P37" s="35" t="n">
        <f aca="false">IF(OR(D37="",D36="",D36=0),"",D37/D36-1)</f>
        <v>0.00650998208322617</v>
      </c>
      <c r="Q37" s="35" t="n">
        <f aca="false">IF(OR(E37="",E36="",E36=0),"",E37/E36-1)</f>
        <v>0.0209228232238696</v>
      </c>
      <c r="R37" s="35" t="n">
        <f aca="false">IF(OR(F37="",F36="",F36=0),"",F37/F36-1)</f>
        <v>-0.000823623692908226</v>
      </c>
      <c r="S37" s="35" t="n">
        <f aca="false">IF(OR(G37="",G36="",G36=0),"",G37/G36-1)</f>
        <v>-0.00944759518898741</v>
      </c>
      <c r="T37" s="35" t="n">
        <f aca="false">IF(OR(H37="",H36="",H36=0),"",H37/H36-1)</f>
        <v>-0.00290075326122008</v>
      </c>
      <c r="U37" s="35" t="n">
        <f aca="false">IF(OR(I37="",I36="",I36=0),"",I37/I36-1)</f>
        <v>0.00854000408159417</v>
      </c>
      <c r="V37" s="35" t="n">
        <f aca="false">IF(OR(J37="",J36="",J36=0),"",J37/J36-1)</f>
        <v>0.00406364749902499</v>
      </c>
    </row>
    <row r="38" customFormat="false" ht="15" hidden="false" customHeight="false" outlineLevel="0" collapsed="false">
      <c r="A38" s="33" t="n">
        <v>45931</v>
      </c>
      <c r="B38" s="34" t="n">
        <v>668.450012207031</v>
      </c>
      <c r="C38" s="34" t="n">
        <v>255.449996948242</v>
      </c>
      <c r="D38" s="34" t="n">
        <v>519.710021972656</v>
      </c>
      <c r="E38" s="34" t="n">
        <v>186.050003051758</v>
      </c>
      <c r="F38" s="34" t="n">
        <v>310.709991455078</v>
      </c>
      <c r="G38" s="34" t="n">
        <v>78.6699981689453</v>
      </c>
      <c r="H38" s="34" t="n">
        <v>89.2900009155273</v>
      </c>
      <c r="I38" s="34" t="n">
        <v>356.029998779297</v>
      </c>
      <c r="J38" s="34" t="n">
        <v>91.5599975585938</v>
      </c>
      <c r="L38" s="35" t="n">
        <f aca="false">IF(COUNT(N38:V38)&lt;9,"",SUMPRODUCT($B$12:$J$12,N38:V38))</f>
        <v>0.00257654032985952</v>
      </c>
      <c r="N38" s="35" t="n">
        <f aca="false">IF(OR(B38="",B37="",B37=0),"",B38/B37-1)</f>
        <v>0.00340751682159079</v>
      </c>
      <c r="O38" s="35" t="n">
        <f aca="false">IF(OR(C38="",C37="",C37=0),"",C38/C37-1)</f>
        <v>0.00322032772927283</v>
      </c>
      <c r="P38" s="35" t="n">
        <f aca="false">IF(OR(D38="",D37="",D37=0),"",D38/D37-1)</f>
        <v>0.003398030165354</v>
      </c>
      <c r="Q38" s="35" t="n">
        <f aca="false">IF(OR(E38="",E37="",E37=0),"",E38/E37-1)</f>
        <v>0.00339771809424239</v>
      </c>
      <c r="R38" s="35" t="n">
        <f aca="false">IF(OR(F38="",F37="",F37=0),"",F38/F37-1)</f>
        <v>-0.014963704562979</v>
      </c>
      <c r="S38" s="35" t="n">
        <f aca="false">IF(OR(G38="",G37="",G37=0),"",G38/G37-1)</f>
        <v>0.0421247899743549</v>
      </c>
      <c r="T38" s="35" t="n">
        <f aca="false">IF(OR(H38="",H37="",H37=0),"",H38/H37-1)</f>
        <v>-0.000895175434665219</v>
      </c>
      <c r="U38" s="35" t="n">
        <f aca="false">IF(OR(I38="",I37="",I37=0),"",I38/I37-1)</f>
        <v>0.00157537220207304</v>
      </c>
      <c r="V38" s="35" t="n">
        <f aca="false">IF(OR(J38="",J37="",J37=0),"",J38/J37-1)</f>
        <v>0.00153138692247379</v>
      </c>
    </row>
    <row r="39" customFormat="false" ht="15" hidden="false" customHeight="false" outlineLevel="0" collapsed="false">
      <c r="A39" s="33" t="n">
        <v>45932</v>
      </c>
      <c r="B39" s="34" t="n">
        <v>669.219970703125</v>
      </c>
      <c r="C39" s="34" t="n">
        <v>257.130004882813</v>
      </c>
      <c r="D39" s="34" t="n">
        <v>515.739990234375</v>
      </c>
      <c r="E39" s="34" t="n">
        <v>185.979995727539</v>
      </c>
      <c r="F39" s="34" t="n">
        <v>307.549987792969</v>
      </c>
      <c r="G39" s="34" t="n">
        <v>78.1800003051758</v>
      </c>
      <c r="H39" s="34" t="n">
        <v>89.5500030517578</v>
      </c>
      <c r="I39" s="34" t="n">
        <v>354.790008544922</v>
      </c>
      <c r="J39" s="34" t="n">
        <v>91.0800018310547</v>
      </c>
      <c r="L39" s="35" t="n">
        <f aca="false">IF(COUNT(N39:V39)&lt;9,"",SUMPRODUCT($B$12:$J$12,N39:V39))</f>
        <v>-0.00130957792052139</v>
      </c>
      <c r="N39" s="35" t="n">
        <f aca="false">IF(OR(B39="",B38="",B38=0),"",B39/B38-1)</f>
        <v>0.00115185650689398</v>
      </c>
      <c r="O39" s="35" t="n">
        <f aca="false">IF(OR(C39="",C38="",C38=0),"",C39/C38-1)</f>
        <v>0.00657666061711248</v>
      </c>
      <c r="P39" s="35" t="n">
        <f aca="false">IF(OR(D39="",D38="",D38=0),"",D39/D38-1)</f>
        <v>-0.00763893627298551</v>
      </c>
      <c r="Q39" s="35" t="n">
        <f aca="false">IF(OR(E39="",E38="",E38=0),"",E39/E38-1)</f>
        <v>-0.000376282306211673</v>
      </c>
      <c r="R39" s="35" t="n">
        <f aca="false">IF(OR(F39="",F38="",F38=0),"",F39/F38-1)</f>
        <v>-0.0101702672878671</v>
      </c>
      <c r="S39" s="35" t="n">
        <f aca="false">IF(OR(G39="",G38="",G38=0),"",G39/G38-1)</f>
        <v>-0.00622852262837514</v>
      </c>
      <c r="T39" s="35" t="n">
        <f aca="false">IF(OR(H39="",H38="",H38=0),"",H39/H38-1)</f>
        <v>0.00291188412548538</v>
      </c>
      <c r="U39" s="35" t="n">
        <f aca="false">IF(OR(I39="",I38="",I38=0),"",I39/I38-1)</f>
        <v>-0.0034828251513257</v>
      </c>
      <c r="V39" s="35" t="n">
        <f aca="false">IF(OR(J39="",J38="",J38=0),"",J39/J38-1)</f>
        <v>-0.00524241743488396</v>
      </c>
    </row>
    <row r="40" customFormat="false" ht="15" hidden="false" customHeight="false" outlineLevel="0" collapsed="false">
      <c r="A40" s="33" t="n">
        <v>45933</v>
      </c>
      <c r="B40" s="34" t="n">
        <v>669.210021972656</v>
      </c>
      <c r="C40" s="34" t="n">
        <v>258.019989013672</v>
      </c>
      <c r="D40" s="34" t="n">
        <v>517.349975585938</v>
      </c>
      <c r="E40" s="34" t="n">
        <v>188.639999389648</v>
      </c>
      <c r="F40" s="34" t="n">
        <v>310.029998779297</v>
      </c>
      <c r="G40" s="34" t="n">
        <v>80.0599975585938</v>
      </c>
      <c r="H40" s="34" t="n">
        <v>89.379997253418</v>
      </c>
      <c r="I40" s="34" t="n">
        <v>357.640014648438</v>
      </c>
      <c r="J40" s="34" t="n">
        <v>91.4199981689453</v>
      </c>
      <c r="L40" s="35" t="n">
        <f aca="false">IF(COUNT(N40:V40)&lt;9,"",SUMPRODUCT($B$12:$J$12,N40:V40))</f>
        <v>0.00509062974442925</v>
      </c>
      <c r="N40" s="35" t="n">
        <f aca="false">IF(OR(B40="",B39="",B39=0),"",B40/B39-1)</f>
        <v>-1.48661589679522E-005</v>
      </c>
      <c r="O40" s="35" t="n">
        <f aca="false">IF(OR(C40="",C39="",C39=0),"",C40/C39-1)</f>
        <v>0.00346122239318047</v>
      </c>
      <c r="P40" s="35" t="n">
        <f aca="false">IF(OR(D40="",D39="",D39=0),"",D40/D39-1)</f>
        <v>0.00312169965883635</v>
      </c>
      <c r="Q40" s="35" t="n">
        <f aca="false">IF(OR(E40="",E39="",E39=0),"",E40/E39-1)</f>
        <v>0.0143026332036587</v>
      </c>
      <c r="R40" s="35" t="n">
        <f aca="false">IF(OR(F40="",F39="",F39=0),"",F40/F39-1)</f>
        <v>0.00806376551703014</v>
      </c>
      <c r="S40" s="35" t="n">
        <f aca="false">IF(OR(G40="",G39="",G39=0),"",G40/G39-1)</f>
        <v>0.0240470356367286</v>
      </c>
      <c r="T40" s="35" t="n">
        <f aca="false">IF(OR(H40="",H39="",H39=0),"",H40/H39-1)</f>
        <v>-0.00189844547790285</v>
      </c>
      <c r="U40" s="35" t="n">
        <f aca="false">IF(OR(I40="",I39="",I39=0),"",I40/I39-1)</f>
        <v>0.00803293789248616</v>
      </c>
      <c r="V40" s="35" t="n">
        <f aca="false">IF(OR(J40="",J39="",J39=0),"",J40/J39-1)</f>
        <v>0.00373294171119221</v>
      </c>
    </row>
    <row r="41" customFormat="false" ht="15" hidden="false" customHeight="false" outlineLevel="0" collapsed="false">
      <c r="A41" s="33" t="n">
        <v>45936</v>
      </c>
      <c r="B41" s="34" t="n">
        <v>671.609985351563</v>
      </c>
      <c r="C41" s="34" t="n">
        <v>256.690002441406</v>
      </c>
      <c r="D41" s="34" t="n">
        <v>528.570007324219</v>
      </c>
      <c r="E41" s="34" t="n">
        <v>188.160003662109</v>
      </c>
      <c r="F41" s="34" t="n">
        <v>309.179992675781</v>
      </c>
      <c r="G41" s="34" t="n">
        <v>82.1100006103516</v>
      </c>
      <c r="H41" s="34" t="n">
        <v>88.6699981689453</v>
      </c>
      <c r="I41" s="34" t="n">
        <v>364.380004882813</v>
      </c>
      <c r="J41" s="34" t="n">
        <v>90.5599975585938</v>
      </c>
      <c r="L41" s="35" t="n">
        <f aca="false">IF(COUNT(N41:V41)&lt;9,"",SUMPRODUCT($B$12:$J$12,N41:V41))</f>
        <v>0.00355463614370883</v>
      </c>
      <c r="N41" s="35" t="n">
        <f aca="false">IF(OR(B41="",B40="",B40=0),"",B41/B40-1)</f>
        <v>0.00358626335545975</v>
      </c>
      <c r="O41" s="35" t="n">
        <f aca="false">IF(OR(C41="",C40="",C40=0),"",C41/C40-1)</f>
        <v>-0.00515458735329022</v>
      </c>
      <c r="P41" s="35" t="n">
        <f aca="false">IF(OR(D41="",D40="",D40=0),"",D41/D40-1)</f>
        <v>0.0216875080076566</v>
      </c>
      <c r="Q41" s="35" t="n">
        <f aca="false">IF(OR(E41="",E40="",E40=0),"",E41/E40-1)</f>
        <v>-0.00254450662156513</v>
      </c>
      <c r="R41" s="35" t="n">
        <f aca="false">IF(OR(F41="",F40="",F40=0),"",F41/F40-1)</f>
        <v>-0.00274168985860324</v>
      </c>
      <c r="S41" s="35" t="n">
        <f aca="false">IF(OR(G41="",G40="",G40=0),"",G41/G40-1)</f>
        <v>0.0256058345524861</v>
      </c>
      <c r="T41" s="35" t="n">
        <f aca="false">IF(OR(H41="",H40="",H40=0),"",H41/H40-1)</f>
        <v>-0.00794360154721918</v>
      </c>
      <c r="U41" s="35" t="n">
        <f aca="false">IF(OR(I41="",I40="",I40=0),"",I41/I40-1)</f>
        <v>0.018845738615128</v>
      </c>
      <c r="V41" s="35" t="n">
        <f aca="false">IF(OR(J41="",J40="",J40=0),"",J41/J40-1)</f>
        <v>-0.00940713878337862</v>
      </c>
    </row>
    <row r="42" customFormat="false" ht="15" hidden="false" customHeight="false" outlineLevel="0" collapsed="false">
      <c r="A42" s="33" t="n">
        <v>45937</v>
      </c>
      <c r="B42" s="34" t="n">
        <v>669.119995117188</v>
      </c>
      <c r="C42" s="34" t="n">
        <v>256.480010986328</v>
      </c>
      <c r="D42" s="34" t="n">
        <v>523.97998046875</v>
      </c>
      <c r="E42" s="34" t="n">
        <v>188.889999389648</v>
      </c>
      <c r="F42" s="34" t="n">
        <v>307.690002441406</v>
      </c>
      <c r="G42" s="34" t="n">
        <v>83.2099990844727</v>
      </c>
      <c r="H42" s="34" t="n">
        <v>89.1800003051758</v>
      </c>
      <c r="I42" s="34" t="n">
        <v>366.260009765625</v>
      </c>
      <c r="J42" s="34" t="n">
        <v>90.2300033569336</v>
      </c>
      <c r="L42" s="35" t="n">
        <f aca="false">IF(COUNT(N42:V42)&lt;9,"",SUMPRODUCT($B$12:$J$12,N42:V42))</f>
        <v>-0.000553221997620479</v>
      </c>
      <c r="N42" s="35" t="n">
        <f aca="false">IF(OR(B42="",B41="",B41=0),"",B42/B41-1)</f>
        <v>-0.00370749436232931</v>
      </c>
      <c r="O42" s="35" t="n">
        <f aca="false">IF(OR(C42="",C41="",C41=0),"",C42/C41-1)</f>
        <v>-0.000818074148119408</v>
      </c>
      <c r="P42" s="35" t="n">
        <f aca="false">IF(OR(D42="",D41="",D41=0),"",D42/D41-1)</f>
        <v>-0.00868385794098514</v>
      </c>
      <c r="Q42" s="35" t="n">
        <f aca="false">IF(OR(E42="",E41="",E41=0),"",E42/E41-1)</f>
        <v>0.00387965408870805</v>
      </c>
      <c r="R42" s="35" t="n">
        <f aca="false">IF(OR(F42="",F41="",F41=0),"",F42/F41-1)</f>
        <v>-0.00481916770060042</v>
      </c>
      <c r="S42" s="35" t="n">
        <f aca="false">IF(OR(G42="",G41="",G41=0),"",G42/G41-1)</f>
        <v>0.013396644330099</v>
      </c>
      <c r="T42" s="35" t="n">
        <f aca="false">IF(OR(H42="",H41="",H41=0),"",H42/H41-1)</f>
        <v>0.00575168768199119</v>
      </c>
      <c r="U42" s="35" t="n">
        <f aca="false">IF(OR(I42="",I41="",I41=0),"",I42/I41-1)</f>
        <v>0.00515946225813524</v>
      </c>
      <c r="V42" s="35" t="n">
        <f aca="false">IF(OR(J42="",J41="",J41=0),"",J42/J41-1)</f>
        <v>-0.00364392900349519</v>
      </c>
    </row>
    <row r="43" customFormat="false" ht="15" hidden="false" customHeight="false" outlineLevel="0" collapsed="false">
      <c r="A43" s="33" t="n">
        <v>45938</v>
      </c>
      <c r="B43" s="34" t="n">
        <v>673.109985351563</v>
      </c>
      <c r="C43" s="34" t="n">
        <v>258.059997558594</v>
      </c>
      <c r="D43" s="34" t="n">
        <v>524.849975585938</v>
      </c>
      <c r="E43" s="34" t="n">
        <v>189.690002441406</v>
      </c>
      <c r="F43" s="34" t="n">
        <v>304.029998779297</v>
      </c>
      <c r="G43" s="34" t="n">
        <v>84.0400009155273</v>
      </c>
      <c r="H43" s="34" t="n">
        <v>89.25</v>
      </c>
      <c r="I43" s="34" t="n">
        <v>372.299987792969</v>
      </c>
      <c r="J43" s="34" t="n">
        <v>89.7600021362305</v>
      </c>
      <c r="L43" s="35" t="n">
        <f aca="false">IF(COUNT(N43:V43)&lt;9,"",SUMPRODUCT($B$12:$J$12,N43:V43))</f>
        <v>0.00355391211088153</v>
      </c>
      <c r="N43" s="35" t="n">
        <f aca="false">IF(OR(B43="",B42="",B42=0),"",B43/B42-1)</f>
        <v>0.00596304140287463</v>
      </c>
      <c r="O43" s="35" t="n">
        <f aca="false">IF(OR(C43="",C42="",C42=0),"",C43/C42-1)</f>
        <v>0.0061602717739675</v>
      </c>
      <c r="P43" s="35" t="n">
        <f aca="false">IF(OR(D43="",D42="",D42=0),"",D43/D42-1)</f>
        <v>0.00166035945955345</v>
      </c>
      <c r="Q43" s="35" t="n">
        <f aca="false">IF(OR(E43="",E42="",E42=0),"",E43/E42-1)</f>
        <v>0.00423528537425488</v>
      </c>
      <c r="R43" s="35" t="n">
        <f aca="false">IF(OR(F43="",F42="",F42=0),"",F43/F42-1)</f>
        <v>-0.0118951010207295</v>
      </c>
      <c r="S43" s="35" t="n">
        <f aca="false">IF(OR(G43="",G42="",G42=0),"",G43/G42-1)</f>
        <v>0.00997478476369174</v>
      </c>
      <c r="T43" s="35" t="n">
        <f aca="false">IF(OR(H43="",H42="",H42=0),"",H43/H42-1)</f>
        <v>0.000784925931651248</v>
      </c>
      <c r="U43" s="35" t="n">
        <f aca="false">IF(OR(I43="",I42="",I42=0),"",I43/I42-1)</f>
        <v>0.0164909568784455</v>
      </c>
      <c r="V43" s="35" t="n">
        <f aca="false">IF(OR(J43="",J42="",J42=0),"",J43/J42-1)</f>
        <v>-0.00520892389689776</v>
      </c>
    </row>
    <row r="44" customFormat="false" ht="15" hidden="false" customHeight="false" outlineLevel="0" collapsed="false">
      <c r="A44" s="33" t="n">
        <v>45939</v>
      </c>
      <c r="B44" s="34" t="n">
        <v>671.159973144531</v>
      </c>
      <c r="C44" s="34" t="n">
        <v>254.039993286133</v>
      </c>
      <c r="D44" s="34" t="n">
        <v>522.400024414063</v>
      </c>
      <c r="E44" s="34" t="n">
        <v>191.080001831055</v>
      </c>
      <c r="F44" s="34" t="n">
        <v>305.529998779297</v>
      </c>
      <c r="G44" s="34" t="n">
        <v>83.7099990844727</v>
      </c>
      <c r="H44" s="34" t="n">
        <v>89.1800003051758</v>
      </c>
      <c r="I44" s="34" t="n">
        <v>365.429992675781</v>
      </c>
      <c r="J44" s="34" t="n">
        <v>89.2699966430664</v>
      </c>
      <c r="L44" s="35" t="n">
        <f aca="false">IF(COUNT(N44:V44)&lt;9,"",SUMPRODUCT($B$12:$J$12,N44:V44))</f>
        <v>-0.00502980221270427</v>
      </c>
      <c r="N44" s="35" t="n">
        <f aca="false">IF(OR(B44="",B43="",B43=0),"",B44/B43-1)</f>
        <v>-0.00289701868857795</v>
      </c>
      <c r="O44" s="35" t="n">
        <f aca="false">IF(OR(C44="",C43="",C43=0),"",C44/C43-1)</f>
        <v>-0.0155777893144721</v>
      </c>
      <c r="P44" s="35" t="n">
        <f aca="false">IF(OR(D44="",D43="",D43=0),"",D44/D43-1)</f>
        <v>-0.00466790756566182</v>
      </c>
      <c r="Q44" s="35" t="n">
        <f aca="false">IF(OR(E44="",E43="",E43=0),"",E44/E43-1)</f>
        <v>0.00732774195666086</v>
      </c>
      <c r="R44" s="35" t="n">
        <f aca="false">IF(OR(F44="",F43="",F43=0),"",F44/F43-1)</f>
        <v>0.00493372366550204</v>
      </c>
      <c r="S44" s="35" t="n">
        <f aca="false">IF(OR(G44="",G43="",G43=0),"",G44/G43-1)</f>
        <v>-0.00392672331579702</v>
      </c>
      <c r="T44" s="35" t="n">
        <f aca="false">IF(OR(H44="",H43="",H43=0),"",H44/H43-1)</f>
        <v>-0.000784310306153557</v>
      </c>
      <c r="U44" s="35" t="n">
        <f aca="false">IF(OR(I44="",I43="",I43=0),"",I44/I43-1)</f>
        <v>-0.0184528480860662</v>
      </c>
      <c r="V44" s="35" t="n">
        <f aca="false">IF(OR(J44="",J43="",J43=0),"",J44/J43-1)</f>
        <v>-0.00545906285096121</v>
      </c>
    </row>
    <row r="45" customFormat="false" ht="15" hidden="false" customHeight="false" outlineLevel="0" collapsed="false">
      <c r="A45" s="33" t="n">
        <v>45940</v>
      </c>
      <c r="B45" s="34" t="n">
        <v>653.02001953125</v>
      </c>
      <c r="C45" s="34" t="n">
        <v>245.270004272461</v>
      </c>
      <c r="D45" s="34" t="n">
        <v>510.959991455078</v>
      </c>
      <c r="E45" s="34" t="n">
        <v>190.720001220703</v>
      </c>
      <c r="F45" s="34" t="n">
        <v>300.890014648438</v>
      </c>
      <c r="G45" s="34" t="n">
        <v>83.3499984741211</v>
      </c>
      <c r="H45" s="34" t="n">
        <v>90.620002746582</v>
      </c>
      <c r="I45" s="34" t="n">
        <v>369.119995117188</v>
      </c>
      <c r="J45" s="34" t="n">
        <v>88.129997253418</v>
      </c>
      <c r="L45" s="35" t="n">
        <f aca="false">IF(COUNT(N45:V45)&lt;9,"",SUMPRODUCT($B$12:$J$12,N45:V45))</f>
        <v>-0.0136521931751381</v>
      </c>
      <c r="N45" s="35" t="n">
        <f aca="false">IF(OR(B45="",B44="",B44=0),"",B45/B44-1)</f>
        <v>-0.0270277643767869</v>
      </c>
      <c r="O45" s="35" t="n">
        <f aca="false">IF(OR(C45="",C44="",C44=0),"",C45/C44-1)</f>
        <v>-0.0345220801663072</v>
      </c>
      <c r="P45" s="35" t="n">
        <f aca="false">IF(OR(D45="",D44="",D44=0),"",D45/D44-1)</f>
        <v>-0.0218989900925376</v>
      </c>
      <c r="Q45" s="35" t="n">
        <f aca="false">IF(OR(E45="",E44="",E44=0),"",E45/E44-1)</f>
        <v>-0.00188403080857347</v>
      </c>
      <c r="R45" s="35" t="n">
        <f aca="false">IF(OR(F45="",F44="",F44=0),"",F45/F44-1)</f>
        <v>-0.0151866728288462</v>
      </c>
      <c r="S45" s="35" t="n">
        <f aca="false">IF(OR(G45="",G44="",G44=0),"",G45/G44-1)</f>
        <v>-0.00430056880048846</v>
      </c>
      <c r="T45" s="35" t="n">
        <f aca="false">IF(OR(H45="",H44="",H44=0),"",H45/H44-1)</f>
        <v>0.0161471455088416</v>
      </c>
      <c r="U45" s="35" t="n">
        <f aca="false">IF(OR(I45="",I44="",I44=0),"",I45/I44-1)</f>
        <v>0.0100977000119442</v>
      </c>
      <c r="V45" s="35" t="n">
        <f aca="false">IF(OR(J45="",J44="",J44=0),"",J45/J44-1)</f>
        <v>-0.0127702412066457</v>
      </c>
    </row>
    <row r="46" customFormat="false" ht="15" hidden="false" customHeight="false" outlineLevel="0" collapsed="false">
      <c r="A46" s="33" t="n">
        <v>45943</v>
      </c>
      <c r="B46" s="34" t="n">
        <v>663.039978027344</v>
      </c>
      <c r="C46" s="34" t="n">
        <v>247.660003662109</v>
      </c>
      <c r="D46" s="34" t="n">
        <v>514.049987792969</v>
      </c>
      <c r="E46" s="34" t="n">
        <v>190.899993896484</v>
      </c>
      <c r="F46" s="34" t="n">
        <v>307.970001220703</v>
      </c>
      <c r="G46" s="34" t="n">
        <v>84.3000030517578</v>
      </c>
      <c r="H46" s="34" t="n">
        <v>90.5699996948242</v>
      </c>
      <c r="I46" s="34" t="n">
        <v>378.089996337891</v>
      </c>
      <c r="J46" s="34" t="n">
        <v>88.6900024414063</v>
      </c>
      <c r="L46" s="35" t="n">
        <f aca="false">IF(COUNT(N46:V46)&lt;9,"",SUMPRODUCT($B$12:$J$12,N46:V46))</f>
        <v>0.0109277084121047</v>
      </c>
      <c r="N46" s="35" t="n">
        <f aca="false">IF(OR(B46="",B45="",B45=0),"",B46/B45-1)</f>
        <v>0.0153440295801137</v>
      </c>
      <c r="O46" s="35" t="n">
        <f aca="false">IF(OR(C46="",C45="",C45=0),"",C46/C45-1)</f>
        <v>0.00974436069643914</v>
      </c>
      <c r="P46" s="35" t="n">
        <f aca="false">IF(OR(D46="",D45="",D45=0),"",D46/D45-1)</f>
        <v>0.00604743304674682</v>
      </c>
      <c r="Q46" s="35" t="n">
        <f aca="false">IF(OR(E46="",E45="",E45=0),"",E46/E45-1)</f>
        <v>0.000943753537274272</v>
      </c>
      <c r="R46" s="35" t="n">
        <f aca="false">IF(OR(F46="",F45="",F45=0),"",F46/F45-1)</f>
        <v>0.0235301479862577</v>
      </c>
      <c r="S46" s="35" t="n">
        <f aca="false">IF(OR(G46="",G45="",G45=0),"",G46/G45-1)</f>
        <v>0.0113977755852228</v>
      </c>
      <c r="T46" s="35" t="n">
        <f aca="false">IF(OR(H46="",H45="",H45=0),"",H46/H45-1)</f>
        <v>-0.000551788239265827</v>
      </c>
      <c r="U46" s="35" t="n">
        <f aca="false">IF(OR(I46="",I45="",I45=0),"",I46/I45-1)</f>
        <v>0.0243010439406166</v>
      </c>
      <c r="V46" s="35" t="n">
        <f aca="false">IF(OR(J46="",J45="",J45=0),"",J46/J45-1)</f>
        <v>0.00635430846977125</v>
      </c>
    </row>
    <row r="47" customFormat="false" ht="15" hidden="false" customHeight="false" outlineLevel="0" collapsed="false">
      <c r="A47" s="33" t="n">
        <v>45944</v>
      </c>
      <c r="B47" s="34" t="n">
        <v>662.22998046875</v>
      </c>
      <c r="C47" s="34" t="n">
        <v>247.770004272461</v>
      </c>
      <c r="D47" s="34" t="n">
        <v>513.570007324219</v>
      </c>
      <c r="E47" s="34" t="n">
        <v>190.850006103516</v>
      </c>
      <c r="F47" s="34" t="n">
        <v>302.079986572266</v>
      </c>
      <c r="G47" s="34" t="n">
        <v>84.6399993896484</v>
      </c>
      <c r="H47" s="34" t="n">
        <v>90.8600006103516</v>
      </c>
      <c r="I47" s="34" t="n">
        <v>380.790008544922</v>
      </c>
      <c r="J47" s="34" t="n">
        <v>89.5999984741211</v>
      </c>
      <c r="L47" s="35" t="n">
        <f aca="false">IF(COUNT(N47:V47)&lt;9,"",SUMPRODUCT($B$12:$J$12,N47:V47))</f>
        <v>-5.67553997846049E-005</v>
      </c>
      <c r="N47" s="35" t="n">
        <f aca="false">IF(OR(B47="",B46="",B46=0),"",B47/B46-1)</f>
        <v>-0.00122164211124021</v>
      </c>
      <c r="O47" s="35" t="n">
        <f aca="false">IF(OR(C47="",C46="",C46=0),"",C47/C46-1)</f>
        <v>0.00044415977035217</v>
      </c>
      <c r="P47" s="35" t="n">
        <f aca="false">IF(OR(D47="",D46="",D46=0),"",D47/D46-1)</f>
        <v>-0.00093372333459385</v>
      </c>
      <c r="Q47" s="35" t="n">
        <f aca="false">IF(OR(E47="",E46="",E46=0),"",E47/E46-1)</f>
        <v>-0.000261853297884973</v>
      </c>
      <c r="R47" s="35" t="n">
        <f aca="false">IF(OR(F47="",F46="",F46=0),"",F47/F46-1)</f>
        <v>-0.0191252869600633</v>
      </c>
      <c r="S47" s="35" t="n">
        <f aca="false">IF(OR(G47="",G46="",G46=0),"",G47/G46-1)</f>
        <v>0.00403317112197321</v>
      </c>
      <c r="T47" s="35" t="n">
        <f aca="false">IF(OR(H47="",H46="",H46=0),"",H47/H46-1)</f>
        <v>0.00320195336761131</v>
      </c>
      <c r="U47" s="35" t="n">
        <f aca="false">IF(OR(I47="",I46="",I46=0),"",I47/I46-1)</f>
        <v>0.0071411892226263</v>
      </c>
      <c r="V47" s="35" t="n">
        <f aca="false">IF(OR(J47="",J46="",J46=0),"",J47/J46-1)</f>
        <v>0.0102604127597807</v>
      </c>
    </row>
    <row r="48" customFormat="false" ht="15" hidden="false" customHeight="false" outlineLevel="0" collapsed="false">
      <c r="A48" s="33" t="n">
        <v>45945</v>
      </c>
      <c r="B48" s="34" t="n">
        <v>665.169982910156</v>
      </c>
      <c r="C48" s="34" t="n">
        <v>249.339996337891</v>
      </c>
      <c r="D48" s="34" t="n">
        <v>513.429992675781</v>
      </c>
      <c r="E48" s="34" t="n">
        <v>191.169998168945</v>
      </c>
      <c r="F48" s="34" t="n">
        <v>305.690002441406</v>
      </c>
      <c r="G48" s="34" t="n">
        <v>85.7900009155273</v>
      </c>
      <c r="H48" s="34" t="n">
        <v>90.6600036621094</v>
      </c>
      <c r="I48" s="34" t="n">
        <v>387.390014648438</v>
      </c>
      <c r="J48" s="34" t="n">
        <v>90.9000015258789</v>
      </c>
      <c r="L48" s="35" t="n">
        <f aca="false">IF(COUNT(N48:V48)&lt;9,"",SUMPRODUCT($B$12:$J$12,N48:V48))</f>
        <v>0.00629218425467745</v>
      </c>
      <c r="N48" s="35" t="n">
        <f aca="false">IF(OR(B48="",B47="",B47=0),"",B48/B47-1)</f>
        <v>0.0044395489907072</v>
      </c>
      <c r="O48" s="35" t="n">
        <f aca="false">IF(OR(C48="",C47="",C47=0),"",C48/C47-1)</f>
        <v>0.00633648964102829</v>
      </c>
      <c r="P48" s="35" t="n">
        <f aca="false">IF(OR(D48="",D47="",D47=0),"",D48/D47-1)</f>
        <v>-0.000272630111652017</v>
      </c>
      <c r="Q48" s="35" t="n">
        <f aca="false">IF(OR(E48="",E47="",E47=0),"",E48/E47-1)</f>
        <v>0.00167666782916132</v>
      </c>
      <c r="R48" s="35" t="n">
        <f aca="false">IF(OR(F48="",F47="",F47=0),"",F48/F47-1)</f>
        <v>0.0119505297590325</v>
      </c>
      <c r="S48" s="35" t="n">
        <f aca="false">IF(OR(G48="",G47="",G47=0),"",G48/G47-1)</f>
        <v>0.0135869746475867</v>
      </c>
      <c r="T48" s="35" t="n">
        <f aca="false">IF(OR(H48="",H47="",H47=0),"",H48/H47-1)</f>
        <v>-0.00220115503960738</v>
      </c>
      <c r="U48" s="35" t="n">
        <f aca="false">IF(OR(I48="",I47="",I47=0),"",I48/I47-1)</f>
        <v>0.0173324035699782</v>
      </c>
      <c r="V48" s="35" t="n">
        <f aca="false">IF(OR(J48="",J47="",J47=0),"",J48/J47-1)</f>
        <v>0.0145089628783117</v>
      </c>
    </row>
    <row r="49" customFormat="false" ht="15" hidden="false" customHeight="false" outlineLevel="0" collapsed="false">
      <c r="A49" s="33" t="n">
        <v>45946</v>
      </c>
      <c r="B49" s="34" t="n">
        <v>660.640014648438</v>
      </c>
      <c r="C49" s="34" t="n">
        <v>247.449996948242</v>
      </c>
      <c r="D49" s="34" t="n">
        <v>511.609985351563</v>
      </c>
      <c r="E49" s="34" t="n">
        <v>192.119995117188</v>
      </c>
      <c r="F49" s="34" t="n">
        <v>298.540008544922</v>
      </c>
      <c r="G49" s="34" t="n">
        <v>85.0500030517578</v>
      </c>
      <c r="H49" s="34" t="n">
        <v>91.3399963378906</v>
      </c>
      <c r="I49" s="34" t="n">
        <v>396.450012207031</v>
      </c>
      <c r="J49" s="34" t="n">
        <v>90.5800018310547</v>
      </c>
      <c r="L49" s="35" t="n">
        <f aca="false">IF(COUNT(N49:V49)&lt;9,"",SUMPRODUCT($B$12:$J$12,N49:V49))</f>
        <v>-0.0020599852940738</v>
      </c>
      <c r="N49" s="35" t="n">
        <f aca="false">IF(OR(B49="",B48="",B48=0),"",B49/B48-1)</f>
        <v>-0.00681024155945709</v>
      </c>
      <c r="O49" s="35" t="n">
        <f aca="false">IF(OR(C49="",C48="",C48=0),"",C49/C48-1)</f>
        <v>-0.00758000889310906</v>
      </c>
      <c r="P49" s="35" t="n">
        <f aca="false">IF(OR(D49="",D48="",D48=0),"",D49/D48-1)</f>
        <v>-0.0035448013364644</v>
      </c>
      <c r="Q49" s="35" t="n">
        <f aca="false">IF(OR(E49="",E48="",E48=0),"",E49/E48-1)</f>
        <v>0.00496938304829331</v>
      </c>
      <c r="R49" s="35" t="n">
        <f aca="false">IF(OR(F49="",F48="",F48=0),"",F49/F48-1)</f>
        <v>-0.0233896883750869</v>
      </c>
      <c r="S49" s="35" t="n">
        <f aca="false">IF(OR(G49="",G48="",G48=0),"",G49/G48-1)</f>
        <v>-0.00862568895993066</v>
      </c>
      <c r="T49" s="35" t="n">
        <f aca="false">IF(OR(H49="",H48="",H48=0),"",H49/H48-1)</f>
        <v>0.00750047042040203</v>
      </c>
      <c r="U49" s="35" t="n">
        <f aca="false">IF(OR(I49="",I48="",I48=0),"",I49/I48-1)</f>
        <v>0.0233872769457288</v>
      </c>
      <c r="V49" s="35" t="n">
        <f aca="false">IF(OR(J49="",J48="",J48=0),"",J49/J48-1)</f>
        <v>-0.00352034861884021</v>
      </c>
    </row>
    <row r="50" customFormat="false" ht="15" hidden="false" customHeight="false" outlineLevel="0" collapsed="false">
      <c r="A50" s="33" t="n">
        <v>45947</v>
      </c>
      <c r="B50" s="34" t="n">
        <v>664.390014648438</v>
      </c>
      <c r="C50" s="34" t="n">
        <v>252.289993286133</v>
      </c>
      <c r="D50" s="34" t="n">
        <v>513.580017089844</v>
      </c>
      <c r="E50" s="34" t="n">
        <v>193.220001220703</v>
      </c>
      <c r="F50" s="34" t="n">
        <v>297.559997558594</v>
      </c>
      <c r="G50" s="34" t="n">
        <v>84.5299987792969</v>
      </c>
      <c r="H50" s="34" t="n">
        <v>91.1999969482422</v>
      </c>
      <c r="I50" s="34" t="n">
        <v>388.989990234375</v>
      </c>
      <c r="J50" s="34" t="n">
        <v>91.1699981689453</v>
      </c>
      <c r="L50" s="35" t="n">
        <f aca="false">IF(COUNT(N50:V50)&lt;9,"",SUMPRODUCT($B$12:$J$12,N50:V50))</f>
        <v>0.00324575412266863</v>
      </c>
      <c r="N50" s="35" t="n">
        <f aca="false">IF(OR(B50="",B49="",B49=0),"",B50/B49-1)</f>
        <v>0.00567631375159072</v>
      </c>
      <c r="O50" s="35" t="n">
        <f aca="false">IF(OR(C50="",C49="",C49=0),"",C50/C49-1)</f>
        <v>0.0195594924129394</v>
      </c>
      <c r="P50" s="35" t="n">
        <f aca="false">IF(OR(D50="",D49="",D49=0),"",D50/D49-1)</f>
        <v>0.00385065146241659</v>
      </c>
      <c r="Q50" s="35" t="n">
        <f aca="false">IF(OR(E50="",E49="",E49=0),"",E50/E49-1)</f>
        <v>0.00572562008886179</v>
      </c>
      <c r="R50" s="35" t="n">
        <f aca="false">IF(OR(F50="",F49="",F49=0),"",F50/F49-1)</f>
        <v>-0.00328267889823064</v>
      </c>
      <c r="S50" s="35" t="n">
        <f aca="false">IF(OR(G50="",G49="",G49=0),"",G50/G49-1)</f>
        <v>-0.00611410057380535</v>
      </c>
      <c r="T50" s="35" t="n">
        <f aca="false">IF(OR(H50="",H49="",H49=0),"",H50/H49-1)</f>
        <v>-0.00153272821613104</v>
      </c>
      <c r="U50" s="35" t="n">
        <f aca="false">IF(OR(I50="",I49="",I49=0),"",I50/I49-1)</f>
        <v>-0.0188170557269659</v>
      </c>
      <c r="V50" s="35" t="n">
        <f aca="false">IF(OR(J50="",J49="",J49=0),"",J50/J49-1)</f>
        <v>0.00651353859531856</v>
      </c>
    </row>
    <row r="51" customFormat="false" ht="15" hidden="false" customHeight="false" outlineLevel="0" collapsed="false">
      <c r="A51" s="33" t="n">
        <v>45950</v>
      </c>
      <c r="B51" s="34" t="n">
        <v>671.299987792969</v>
      </c>
      <c r="C51" s="34" t="n">
        <v>262.239990234375</v>
      </c>
      <c r="D51" s="34" t="n">
        <v>516.789978027344</v>
      </c>
      <c r="E51" s="34" t="n">
        <v>193.720001220703</v>
      </c>
      <c r="F51" s="34" t="n">
        <v>302.359985351563</v>
      </c>
      <c r="G51" s="34" t="n">
        <v>84.7699966430664</v>
      </c>
      <c r="H51" s="34" t="n">
        <v>91.5500030517578</v>
      </c>
      <c r="I51" s="34" t="n">
        <v>403.149993896484</v>
      </c>
      <c r="J51" s="34" t="n">
        <v>92.0899963378906</v>
      </c>
      <c r="L51" s="35" t="n">
        <f aca="false">IF(COUNT(N51:V51)&lt;9,"",SUMPRODUCT($B$12:$J$12,N51:V51))</f>
        <v>0.0159907825262915</v>
      </c>
      <c r="N51" s="35" t="n">
        <f aca="false">IF(OR(B51="",B50="",B50=0),"",B51/B50-1)</f>
        <v>0.0104004771176272</v>
      </c>
      <c r="O51" s="35" t="n">
        <f aca="false">IF(OR(C51="",C50="",C50=0),"",C51/C50-1)</f>
        <v>0.0394387300845391</v>
      </c>
      <c r="P51" s="35" t="n">
        <f aca="false">IF(OR(D51="",D50="",D50=0),"",D51/D50-1)</f>
        <v>0.00625016712232873</v>
      </c>
      <c r="Q51" s="35" t="n">
        <f aca="false">IF(OR(E51="",E50="",E50=0),"",E51/E50-1)</f>
        <v>0.00258772382176353</v>
      </c>
      <c r="R51" s="35" t="n">
        <f aca="false">IF(OR(F51="",F50="",F50=0),"",F51/F50-1)</f>
        <v>0.0161311595387543</v>
      </c>
      <c r="S51" s="35" t="n">
        <f aca="false">IF(OR(G51="",G50="",G50=0),"",G51/G50-1)</f>
        <v>0.00283920344534883</v>
      </c>
      <c r="T51" s="35" t="n">
        <f aca="false">IF(OR(H51="",H50="",H50=0),"",H51/H50-1)</f>
        <v>0.00383778635117982</v>
      </c>
      <c r="U51" s="35" t="n">
        <f aca="false">IF(OR(I51="",I50="",I50=0),"",I51/I50-1)</f>
        <v>0.0364019743890511</v>
      </c>
      <c r="V51" s="35" t="n">
        <f aca="false">IF(OR(J51="",J50="",J50=0),"",J51/J50-1)</f>
        <v>0.0100910188375838</v>
      </c>
    </row>
    <row r="52" customFormat="false" ht="15" hidden="false" customHeight="false" outlineLevel="0" collapsed="false">
      <c r="A52" s="33" t="n">
        <v>45951</v>
      </c>
      <c r="B52" s="34" t="n">
        <v>671.289978027344</v>
      </c>
      <c r="C52" s="34" t="n">
        <v>262.769989013672</v>
      </c>
      <c r="D52" s="34" t="n">
        <v>517.659973144531</v>
      </c>
      <c r="E52" s="34" t="n">
        <v>191.880004882813</v>
      </c>
      <c r="F52" s="34" t="n">
        <v>297.089996337891</v>
      </c>
      <c r="G52" s="34" t="n">
        <v>83.9899978637695</v>
      </c>
      <c r="H52" s="34" t="n">
        <v>92</v>
      </c>
      <c r="I52" s="34" t="n">
        <v>377.239990234375</v>
      </c>
      <c r="J52" s="34" t="n">
        <v>91.8300018310547</v>
      </c>
      <c r="L52" s="35" t="n">
        <f aca="false">IF(COUNT(N52:V52)&lt;9,"",SUMPRODUCT($B$12:$J$12,N52:V52))</f>
        <v>-0.00866579743426029</v>
      </c>
      <c r="N52" s="35" t="n">
        <f aca="false">IF(OR(B52="",B51="",B51=0),"",B52/B51-1)</f>
        <v>-1.49110171413502E-005</v>
      </c>
      <c r="O52" s="35" t="n">
        <f aca="false">IF(OR(C52="",C51="",C51=0),"",C52/C51-1)</f>
        <v>0.00202104484073273</v>
      </c>
      <c r="P52" s="35" t="n">
        <f aca="false">IF(OR(D52="",D51="",D51=0),"",D52/D51-1)</f>
        <v>0.00168345973060058</v>
      </c>
      <c r="Q52" s="35" t="n">
        <f aca="false">IF(OR(E52="",E51="",E51=0),"",E52/E51-1)</f>
        <v>-0.00949822592553939</v>
      </c>
      <c r="R52" s="35" t="n">
        <f aca="false">IF(OR(F52="",F51="",F51=0),"",F52/F51-1)</f>
        <v>-0.0174295186829845</v>
      </c>
      <c r="S52" s="35" t="n">
        <f aca="false">IF(OR(G52="",G51="",G51=0),"",G52/G51-1)</f>
        <v>-0.0092013543728352</v>
      </c>
      <c r="T52" s="35" t="n">
        <f aca="false">IF(OR(H52="",H51="",H51=0),"",H52/H51-1)</f>
        <v>0.00491531330684714</v>
      </c>
      <c r="U52" s="35" t="n">
        <f aca="false">IF(OR(I52="",I51="",I51=0),"",I52/I51-1)</f>
        <v>-0.0642688926066606</v>
      </c>
      <c r="V52" s="35" t="n">
        <f aca="false">IF(OR(J52="",J51="",J51=0),"",J52/J51-1)</f>
        <v>-0.00282326547046374</v>
      </c>
    </row>
    <row r="53" customFormat="false" ht="15" hidden="false" customHeight="false" outlineLevel="0" collapsed="false">
      <c r="A53" s="33" t="n">
        <v>45952</v>
      </c>
      <c r="B53" s="34" t="n">
        <v>667.799987792969</v>
      </c>
      <c r="C53" s="34" t="n">
        <v>258.450012207031</v>
      </c>
      <c r="D53" s="34" t="n">
        <v>520.539978027344</v>
      </c>
      <c r="E53" s="34" t="n">
        <v>192.940002441406</v>
      </c>
      <c r="F53" s="34" t="n">
        <v>294.109985351563</v>
      </c>
      <c r="G53" s="34" t="n">
        <v>82.8399963378906</v>
      </c>
      <c r="H53" s="34" t="n">
        <v>92.0599975585938</v>
      </c>
      <c r="I53" s="34" t="n">
        <v>377.279998779297</v>
      </c>
      <c r="J53" s="34" t="n">
        <v>92.2200012207031</v>
      </c>
      <c r="L53" s="35" t="n">
        <f aca="false">IF(COUNT(N53:V53)&lt;9,"",SUMPRODUCT($B$12:$J$12,N53:V53))</f>
        <v>-0.00353096209526944</v>
      </c>
      <c r="N53" s="35" t="n">
        <f aca="false">IF(OR(B53="",B52="",B52=0),"",B53/B52-1)</f>
        <v>-0.00519893093686685</v>
      </c>
      <c r="O53" s="35" t="n">
        <f aca="false">IF(OR(C53="",C52="",C52=0),"",C53/C52-1)</f>
        <v>-0.0164401453257899</v>
      </c>
      <c r="P53" s="35" t="n">
        <f aca="false">IF(OR(D53="",D52="",D52=0),"",D53/D52-1)</f>
        <v>0.00556350699730235</v>
      </c>
      <c r="Q53" s="35" t="n">
        <f aca="false">IF(OR(E53="",E52="",E52=0),"",E53/E52-1)</f>
        <v>0.00552427314789972</v>
      </c>
      <c r="R53" s="35" t="n">
        <f aca="false">IF(OR(F53="",F52="",F52=0),"",F53/F52-1)</f>
        <v>-0.010030667552127</v>
      </c>
      <c r="S53" s="35" t="n">
        <f aca="false">IF(OR(G53="",G52="",G52=0),"",G53/G52-1)</f>
        <v>-0.0136921247187575</v>
      </c>
      <c r="T53" s="35" t="n">
        <f aca="false">IF(OR(H53="",H52="",H52=0),"",H53/H52-1)</f>
        <v>0.000652147376019707</v>
      </c>
      <c r="U53" s="35" t="n">
        <f aca="false">IF(OR(I53="",I52="",I52=0),"",I53/I52-1)</f>
        <v>0.000106055948355666</v>
      </c>
      <c r="V53" s="35" t="n">
        <f aca="false">IF(OR(J53="",J52="",J52=0),"",J53/J52-1)</f>
        <v>0.00424697138050689</v>
      </c>
    </row>
    <row r="54" customFormat="false" ht="15" hidden="false" customHeight="false" outlineLevel="0" collapsed="false">
      <c r="A54" s="33" t="n">
        <v>45953</v>
      </c>
      <c r="B54" s="34" t="n">
        <v>671.760009765625</v>
      </c>
      <c r="C54" s="34" t="n">
        <v>259.579986572266</v>
      </c>
      <c r="D54" s="34" t="n">
        <v>520.559997558594</v>
      </c>
      <c r="E54" s="34" t="n">
        <v>192.470001220703</v>
      </c>
      <c r="F54" s="34" t="n">
        <v>294.540008544922</v>
      </c>
      <c r="G54" s="34" t="n">
        <v>83.25</v>
      </c>
      <c r="H54" s="34" t="n">
        <v>91.4300003051758</v>
      </c>
      <c r="I54" s="34" t="n">
        <v>378.790008544922</v>
      </c>
      <c r="J54" s="34" t="n">
        <v>92.1600036621094</v>
      </c>
      <c r="L54" s="35" t="n">
        <f aca="false">IF(COUNT(N54:V54)&lt;9,"",SUMPRODUCT($B$12:$J$12,N54:V54))</f>
        <v>0.00161055555412582</v>
      </c>
      <c r="N54" s="35" t="n">
        <f aca="false">IF(OR(B54="",B53="",B53=0),"",B54/B53-1)</f>
        <v>0.00592995214891157</v>
      </c>
      <c r="O54" s="35" t="n">
        <f aca="false">IF(OR(C54="",C53="",C53=0),"",C54/C53-1)</f>
        <v>0.00437211960481476</v>
      </c>
      <c r="P54" s="35" t="n">
        <f aca="false">IF(OR(D54="",D53="",D53=0),"",D54/D53-1)</f>
        <v>3.8459161822324E-005</v>
      </c>
      <c r="Q54" s="35" t="n">
        <f aca="false">IF(OR(E54="",E53="",E53=0),"",E54/E53-1)</f>
        <v>-0.00243599675938488</v>
      </c>
      <c r="R54" s="35" t="n">
        <f aca="false">IF(OR(F54="",F53="",F53=0),"",F54/F53-1)</f>
        <v>0.00146211694528131</v>
      </c>
      <c r="S54" s="35" t="n">
        <f aca="false">IF(OR(G54="",G53="",G53=0),"",G54/G53-1)</f>
        <v>0.0049493442809565</v>
      </c>
      <c r="T54" s="35" t="n">
        <f aca="false">IF(OR(H54="",H53="",H53=0),"",H54/H53-1)</f>
        <v>-0.00684333337090337</v>
      </c>
      <c r="U54" s="35" t="n">
        <f aca="false">IF(OR(I54="",I53="",I53=0),"",I54/I53-1)</f>
        <v>0.00400235838239693</v>
      </c>
      <c r="V54" s="35" t="n">
        <f aca="false">IF(OR(J54="",J53="",J53=0),"",J54/J53-1)</f>
        <v>-0.000650591604852702</v>
      </c>
    </row>
    <row r="55" customFormat="false" ht="15" hidden="false" customHeight="false" outlineLevel="0" collapsed="false">
      <c r="A55" s="33" t="n">
        <v>45954</v>
      </c>
      <c r="B55" s="34" t="n">
        <v>677.25</v>
      </c>
      <c r="C55" s="34" t="n">
        <v>262.820007324219</v>
      </c>
      <c r="D55" s="34" t="n">
        <v>523.609985351563</v>
      </c>
      <c r="E55" s="34" t="n">
        <v>190.399993896484</v>
      </c>
      <c r="F55" s="34" t="n">
        <v>300.440002441406</v>
      </c>
      <c r="G55" s="34" t="n">
        <v>84.4100036621094</v>
      </c>
      <c r="H55" s="34" t="n">
        <v>91.4700012207031</v>
      </c>
      <c r="I55" s="34" t="n">
        <v>377.519989013672</v>
      </c>
      <c r="J55" s="34" t="n">
        <v>92.4300003051758</v>
      </c>
      <c r="L55" s="35" t="n">
        <f aca="false">IF(COUNT(N55:V55)&lt;9,"",SUMPRODUCT($B$12:$J$12,N55:V55))</f>
        <v>0.00556333610922672</v>
      </c>
      <c r="N55" s="35" t="n">
        <f aca="false">IF(OR(B55="",B54="",B54=0),"",B55/B54-1)</f>
        <v>0.00817254697297387</v>
      </c>
      <c r="O55" s="35" t="n">
        <f aca="false">IF(OR(C55="",C54="",C54=0),"",C55/C54-1)</f>
        <v>0.0124817817996572</v>
      </c>
      <c r="P55" s="35" t="n">
        <f aca="false">IF(OR(D55="",D54="",D54=0),"",D55/D54-1)</f>
        <v>0.00585905142014997</v>
      </c>
      <c r="Q55" s="35" t="n">
        <f aca="false">IF(OR(E55="",E54="",E54=0),"",E55/E54-1)</f>
        <v>-0.0107549608307289</v>
      </c>
      <c r="R55" s="35" t="n">
        <f aca="false">IF(OR(F55="",F54="",F54=0),"",F55/F54-1)</f>
        <v>0.0200312138430057</v>
      </c>
      <c r="S55" s="35" t="n">
        <f aca="false">IF(OR(G55="",G54="",G54=0),"",G55/G54-1)</f>
        <v>0.0139339779232361</v>
      </c>
      <c r="T55" s="35" t="n">
        <f aca="false">IF(OR(H55="",H54="",H54=0),"",H55/H54-1)</f>
        <v>0.000437503176132337</v>
      </c>
      <c r="U55" s="35" t="n">
        <f aca="false">IF(OR(I55="",I54="",I54=0),"",I55/I54-1)</f>
        <v>-0.00335283271100162</v>
      </c>
      <c r="V55" s="35" t="n">
        <f aca="false">IF(OR(J55="",J54="",J54=0),"",J55/J54-1)</f>
        <v>0.00292965095852527</v>
      </c>
    </row>
    <row r="56" customFormat="false" ht="15" hidden="false" customHeight="false" outlineLevel="0" collapsed="false">
      <c r="A56" s="33" t="n">
        <v>45957</v>
      </c>
      <c r="B56" s="34" t="n">
        <v>685.239990234375</v>
      </c>
      <c r="C56" s="34" t="n">
        <v>268.809997558594</v>
      </c>
      <c r="D56" s="34" t="n">
        <v>531.52001953125</v>
      </c>
      <c r="E56" s="34" t="n">
        <v>190.300003051758</v>
      </c>
      <c r="F56" s="34" t="n">
        <v>304.149993896484</v>
      </c>
      <c r="G56" s="34" t="n">
        <v>86.0299987792969</v>
      </c>
      <c r="H56" s="34" t="n">
        <v>91.7799987792969</v>
      </c>
      <c r="I56" s="34" t="n">
        <v>367.010009765625</v>
      </c>
      <c r="J56" s="34" t="n">
        <v>92.6900024414063</v>
      </c>
      <c r="L56" s="35" t="n">
        <f aca="false">IF(COUNT(N56:V56)&lt;9,"",SUMPRODUCT($B$12:$J$12,N56:V56))</f>
        <v>0.0075247860615544</v>
      </c>
      <c r="N56" s="35" t="n">
        <f aca="false">IF(OR(B56="",B55="",B55=0),"",B56/B55-1)</f>
        <v>0.0117976969130675</v>
      </c>
      <c r="O56" s="35" t="n">
        <f aca="false">IF(OR(C56="",C55="",C55=0),"",C56/C55-1)</f>
        <v>0.0227912261907277</v>
      </c>
      <c r="P56" s="35" t="n">
        <f aca="false">IF(OR(D56="",D55="",D55=0),"",D56/D55-1)</f>
        <v>0.0151067290559328</v>
      </c>
      <c r="Q56" s="35" t="n">
        <f aca="false">IF(OR(E56="",E55="",E55=0),"",E56/E55-1)</f>
        <v>-0.000525162016446035</v>
      </c>
      <c r="R56" s="35" t="n">
        <f aca="false">IF(OR(F56="",F55="",F55=0),"",F56/F55-1)</f>
        <v>0.0123485269102988</v>
      </c>
      <c r="S56" s="35" t="n">
        <f aca="false">IF(OR(G56="",G55="",G55=0),"",G56/G55-1)</f>
        <v>0.0191919801789404</v>
      </c>
      <c r="T56" s="35" t="n">
        <f aca="false">IF(OR(H56="",H55="",H55=0),"",H56/H55-1)</f>
        <v>0.00338906258288807</v>
      </c>
      <c r="U56" s="35" t="n">
        <f aca="false">IF(OR(I56="",I55="",I55=0),"",I56/I55-1)</f>
        <v>-0.0278395304987847</v>
      </c>
      <c r="V56" s="35" t="n">
        <f aca="false">IF(OR(J56="",J55="",J55=0),"",J56/J55-1)</f>
        <v>0.00281296262438668</v>
      </c>
    </row>
    <row r="57" customFormat="false" ht="15" hidden="false" customHeight="false" outlineLevel="0" collapsed="false">
      <c r="A57" s="33" t="n">
        <v>45958</v>
      </c>
      <c r="B57" s="34" t="n">
        <v>687.059997558594</v>
      </c>
      <c r="C57" s="34" t="n">
        <v>269</v>
      </c>
      <c r="D57" s="34" t="n">
        <v>542.070007324219</v>
      </c>
      <c r="E57" s="34" t="n">
        <v>186.929992675781</v>
      </c>
      <c r="F57" s="34" t="n">
        <v>305.359985351563</v>
      </c>
      <c r="G57" s="34" t="n">
        <v>83.5699996948242</v>
      </c>
      <c r="H57" s="34" t="n">
        <v>92.0199966430664</v>
      </c>
      <c r="I57" s="34" t="n">
        <v>364.380004882813</v>
      </c>
      <c r="J57" s="34" t="n">
        <v>90.870002746582</v>
      </c>
      <c r="L57" s="35" t="n">
        <f aca="false">IF(COUNT(N57:V57)&lt;9,"",SUMPRODUCT($B$12:$J$12,N57:V57))</f>
        <v>-0.0014567498864959</v>
      </c>
      <c r="N57" s="35" t="n">
        <f aca="false">IF(OR(B57="",B56="",B56=0),"",B57/B56-1)</f>
        <v>0.00265601446231489</v>
      </c>
      <c r="O57" s="35" t="n">
        <f aca="false">IF(OR(C57="",C56="",C56=0),"",C57/C56-1)</f>
        <v>0.000706828031441065</v>
      </c>
      <c r="P57" s="35" t="n">
        <f aca="false">IF(OR(D57="",D56="",D56=0),"",D57/D56-1)</f>
        <v>0.0198487120057549</v>
      </c>
      <c r="Q57" s="35" t="n">
        <f aca="false">IF(OR(E57="",E56="",E56=0),"",E57/E56-1)</f>
        <v>-0.0177089349549849</v>
      </c>
      <c r="R57" s="35" t="n">
        <f aca="false">IF(OR(F57="",F56="",F56=0),"",F57/F56-1)</f>
        <v>0.00397827216623536</v>
      </c>
      <c r="S57" s="35" t="n">
        <f aca="false">IF(OR(G57="",G56="",G56=0),"",G57/G56-1)</f>
        <v>-0.0285946660395013</v>
      </c>
      <c r="T57" s="35" t="n">
        <f aca="false">IF(OR(H57="",H56="",H56=0),"",H57/H56-1)</f>
        <v>0.0026149255498098</v>
      </c>
      <c r="U57" s="35" t="n">
        <f aca="false">IF(OR(I57="",I56="",I56=0),"",I57/I56-1)</f>
        <v>-0.00716603038835784</v>
      </c>
      <c r="V57" s="35" t="n">
        <f aca="false">IF(OR(J57="",J56="",J56=0),"",J57/J56-1)</f>
        <v>-0.0196353398088949</v>
      </c>
    </row>
    <row r="58" customFormat="false" ht="15" hidden="false" customHeight="false" outlineLevel="0" collapsed="false">
      <c r="A58" s="33" t="n">
        <v>45959</v>
      </c>
      <c r="B58" s="34" t="n">
        <v>687.390014648438</v>
      </c>
      <c r="C58" s="34" t="n">
        <v>269.700012207031</v>
      </c>
      <c r="D58" s="34" t="n">
        <v>541.549987792969</v>
      </c>
      <c r="E58" s="34" t="n">
        <v>186.600006103516</v>
      </c>
      <c r="F58" s="34" t="n">
        <v>305.510009765625</v>
      </c>
      <c r="G58" s="34" t="n">
        <v>81.7600021362305</v>
      </c>
      <c r="H58" s="34" t="n">
        <v>91.0899963378906</v>
      </c>
      <c r="I58" s="34" t="n">
        <v>363</v>
      </c>
      <c r="J58" s="34" t="n">
        <v>88.5299987792969</v>
      </c>
      <c r="L58" s="35" t="n">
        <f aca="false">IF(COUNT(N58:V58)&lt;9,"",SUMPRODUCT($B$12:$J$12,N58:V58))</f>
        <v>-0.00396175663513818</v>
      </c>
      <c r="N58" s="35" t="n">
        <f aca="false">IF(OR(B58="",B57="",B57=0),"",B58/B57-1)</f>
        <v>0.00048033227231481</v>
      </c>
      <c r="O58" s="35" t="n">
        <f aca="false">IF(OR(C58="",C57="",C57=0),"",C58/C57-1)</f>
        <v>0.00260227586256878</v>
      </c>
      <c r="P58" s="35" t="n">
        <f aca="false">IF(OR(D58="",D57="",D57=0),"",D58/D57-1)</f>
        <v>-0.00095932171900992</v>
      </c>
      <c r="Q58" s="35" t="n">
        <f aca="false">IF(OR(E58="",E57="",E57=0),"",E58/E57-1)</f>
        <v>-0.00176529495102129</v>
      </c>
      <c r="R58" s="35" t="n">
        <f aca="false">IF(OR(F58="",F57="",F57=0),"",F58/F57-1)</f>
        <v>0.000491303449236424</v>
      </c>
      <c r="S58" s="35" t="n">
        <f aca="false">IF(OR(G58="",G57="",G57=0),"",G58/G57-1)</f>
        <v>-0.0216584607538991</v>
      </c>
      <c r="T58" s="35" t="n">
        <f aca="false">IF(OR(H58="",H57="",H57=0),"",H58/H57-1)</f>
        <v>-0.0101065022723611</v>
      </c>
      <c r="U58" s="35" t="n">
        <f aca="false">IF(OR(I58="",I57="",I57=0),"",I58/I57-1)</f>
        <v>-0.00378726841297683</v>
      </c>
      <c r="V58" s="35" t="n">
        <f aca="false">IF(OR(J58="",J57="",J57=0),"",J58/J57-1)</f>
        <v>-0.0257511158419451</v>
      </c>
    </row>
    <row r="59" customFormat="false" ht="15" hidden="false" customHeight="false" outlineLevel="0" collapsed="false">
      <c r="A59" s="33" t="n">
        <v>45960</v>
      </c>
      <c r="B59" s="34" t="n">
        <v>679.830017089844</v>
      </c>
      <c r="C59" s="34" t="n">
        <v>271.399993896484</v>
      </c>
      <c r="D59" s="34" t="n">
        <v>525.760009765625</v>
      </c>
      <c r="E59" s="34" t="n">
        <v>189.050003051758</v>
      </c>
      <c r="F59" s="34" t="n">
        <v>309.440002441406</v>
      </c>
      <c r="G59" s="34" t="n">
        <v>81.6399993896484</v>
      </c>
      <c r="H59" s="34" t="n">
        <v>90.5599975585938</v>
      </c>
      <c r="I59" s="34" t="n">
        <v>370.130004882813</v>
      </c>
      <c r="J59" s="34" t="n">
        <v>88.9499969482422</v>
      </c>
      <c r="L59" s="35" t="n">
        <f aca="false">IF(COUNT(N59:V59)&lt;9,"",SUMPRODUCT($B$12:$J$12,N59:V59))</f>
        <v>-0.000546127063538131</v>
      </c>
      <c r="N59" s="35" t="n">
        <f aca="false">IF(OR(B59="",B58="",B58=0),"",B59/B58-1)</f>
        <v>-0.0109981195500206</v>
      </c>
      <c r="O59" s="35" t="n">
        <f aca="false">IF(OR(C59="",C58="",C58=0),"",C59/C58-1)</f>
        <v>0.00630323178535108</v>
      </c>
      <c r="P59" s="35" t="n">
        <f aca="false">IF(OR(D59="",D58="",D58=0),"",D59/D58-1)</f>
        <v>-0.0291570092941824</v>
      </c>
      <c r="Q59" s="35" t="n">
        <f aca="false">IF(OR(E59="",E58="",E58=0),"",E59/E58-1)</f>
        <v>0.0131296723907013</v>
      </c>
      <c r="R59" s="35" t="n">
        <f aca="false">IF(OR(F59="",F58="",F58=0),"",F59/F58-1)</f>
        <v>0.0128637116629859</v>
      </c>
      <c r="S59" s="35" t="n">
        <f aca="false">IF(OR(G59="",G58="",G58=0),"",G59/G58-1)</f>
        <v>-0.00146774392669602</v>
      </c>
      <c r="T59" s="35" t="n">
        <f aca="false">IF(OR(H59="",H58="",H58=0),"",H59/H58-1)</f>
        <v>-0.00581840817438184</v>
      </c>
      <c r="U59" s="35" t="n">
        <f aca="false">IF(OR(I59="",I58="",I58=0),"",I59/I58-1)</f>
        <v>0.0196418867295125</v>
      </c>
      <c r="V59" s="35" t="n">
        <f aca="false">IF(OR(J59="",J58="",J58=0),"",J59/J58-1)</f>
        <v>0.00474413390643269</v>
      </c>
    </row>
    <row r="60" customFormat="false" ht="15" hidden="false" customHeight="false" outlineLevel="0" collapsed="false">
      <c r="A60" s="33" t="n">
        <v>45961</v>
      </c>
      <c r="B60" s="34" t="n">
        <v>682.059997558594</v>
      </c>
      <c r="C60" s="34" t="n">
        <v>270.369995117188</v>
      </c>
      <c r="D60" s="34" t="n">
        <v>517.809997558594</v>
      </c>
      <c r="E60" s="34" t="n">
        <v>188.869995117188</v>
      </c>
      <c r="F60" s="34" t="n">
        <v>311.119995117188</v>
      </c>
      <c r="G60" s="34" t="n">
        <v>81.4000015258789</v>
      </c>
      <c r="H60" s="34" t="n">
        <v>90.2900009155273</v>
      </c>
      <c r="I60" s="34" t="n">
        <v>368.119995117188</v>
      </c>
      <c r="J60" s="34" t="n">
        <v>89.1800003051758</v>
      </c>
      <c r="L60" s="35" t="n">
        <f aca="false">IF(COUNT(N60:V60)&lt;9,"",SUMPRODUCT($B$12:$J$12,N60:V60))</f>
        <v>-0.002301163378022</v>
      </c>
      <c r="N60" s="35" t="n">
        <f aca="false">IF(OR(B60="",B59="",B59=0),"",B60/B59-1)</f>
        <v>0.00328020301059362</v>
      </c>
      <c r="O60" s="35" t="n">
        <f aca="false">IF(OR(C60="",C59="",C59=0),"",C60/C59-1)</f>
        <v>-0.00379513191768466</v>
      </c>
      <c r="P60" s="35" t="n">
        <f aca="false">IF(OR(D60="",D59="",D59=0),"",D60/D59-1)</f>
        <v>-0.0151209906789507</v>
      </c>
      <c r="Q60" s="35" t="n">
        <f aca="false">IF(OR(E60="",E59="",E59=0),"",E60/E59-1)</f>
        <v>-0.000952171021762482</v>
      </c>
      <c r="R60" s="35" t="n">
        <f aca="false">IF(OR(F60="",F59="",F59=0),"",F60/F59-1)</f>
        <v>0.00542913864570593</v>
      </c>
      <c r="S60" s="35" t="n">
        <f aca="false">IF(OR(G60="",G59="",G59=0),"",G60/G59-1)</f>
        <v>-0.00293970927932075</v>
      </c>
      <c r="T60" s="35" t="n">
        <f aca="false">IF(OR(H60="",H59="",H59=0),"",H60/H59-1)</f>
        <v>-0.00298141177501488</v>
      </c>
      <c r="U60" s="35" t="n">
        <f aca="false">IF(OR(I60="",I59="",I59=0),"",I60/I59-1)</f>
        <v>-0.00543055072301257</v>
      </c>
      <c r="V60" s="35" t="n">
        <f aca="false">IF(OR(J60="",J59="",J59=0),"",J60/J59-1)</f>
        <v>0.00258576014417877</v>
      </c>
    </row>
    <row r="61" customFormat="false" ht="15" hidden="false" customHeight="false" outlineLevel="0" collapsed="false">
      <c r="A61" s="33" t="n">
        <v>45964</v>
      </c>
      <c r="B61" s="34" t="n">
        <v>683.340026855469</v>
      </c>
      <c r="C61" s="34" t="n">
        <v>269.049987792969</v>
      </c>
      <c r="D61" s="34" t="n">
        <v>517.030029296875</v>
      </c>
      <c r="E61" s="34" t="n">
        <v>186.259994506836</v>
      </c>
      <c r="F61" s="34" t="n">
        <v>309.350006103516</v>
      </c>
      <c r="G61" s="34" t="n">
        <v>81.7799987792969</v>
      </c>
      <c r="H61" s="34" t="n">
        <v>89.7399978637695</v>
      </c>
      <c r="I61" s="34" t="n">
        <v>368.779998779297</v>
      </c>
      <c r="J61" s="34" t="n">
        <v>89.0500030517578</v>
      </c>
      <c r="L61" s="35" t="n">
        <f aca="false">IF(COUNT(N61:V61)&lt;9,"",SUMPRODUCT($B$12:$J$12,N61:V61))</f>
        <v>-0.00294743359461891</v>
      </c>
      <c r="N61" s="35" t="n">
        <f aca="false">IF(OR(B61="",B60="",B60=0),"",B61/B60-1)</f>
        <v>0.00187671070207429</v>
      </c>
      <c r="O61" s="35" t="n">
        <f aca="false">IF(OR(C61="",C60="",C60=0),"",C61/C60-1)</f>
        <v>-0.00488222564655116</v>
      </c>
      <c r="P61" s="35" t="n">
        <f aca="false">IF(OR(D61="",D60="",D60=0),"",D61/D60-1)</f>
        <v>-0.00150628273960807</v>
      </c>
      <c r="Q61" s="35" t="n">
        <f aca="false">IF(OR(E61="",E60="",E60=0),"",E61/E60-1)</f>
        <v>-0.0138190325505785</v>
      </c>
      <c r="R61" s="35" t="n">
        <f aca="false">IF(OR(F61="",F60="",F60=0),"",F61/F60-1)</f>
        <v>-0.00568908794500755</v>
      </c>
      <c r="S61" s="35" t="n">
        <f aca="false">IF(OR(G61="",G60="",G60=0),"",G61/G60-1)</f>
        <v>0.00466827083900223</v>
      </c>
      <c r="T61" s="35" t="n">
        <f aca="false">IF(OR(H61="",H60="",H60=0),"",H61/H60-1)</f>
        <v>-0.00609151673696806</v>
      </c>
      <c r="U61" s="35" t="n">
        <f aca="false">IF(OR(I61="",I60="",I60=0),"",I61/I60-1)</f>
        <v>0.00179290359356554</v>
      </c>
      <c r="V61" s="35" t="n">
        <f aca="false">IF(OR(J61="",J60="",J60=0),"",J61/J60-1)</f>
        <v>-0.00145769514435012</v>
      </c>
    </row>
    <row r="62" customFormat="false" ht="15" hidden="false" customHeight="false" outlineLevel="0" collapsed="false">
      <c r="A62" s="33" t="n">
        <v>45965</v>
      </c>
      <c r="B62" s="34" t="n">
        <v>675.239990234375</v>
      </c>
      <c r="C62" s="34" t="n">
        <v>270.040008544922</v>
      </c>
      <c r="D62" s="34" t="n">
        <v>514.330017089844</v>
      </c>
      <c r="E62" s="34" t="n">
        <v>186.860000610352</v>
      </c>
      <c r="F62" s="34" t="n">
        <v>309.25</v>
      </c>
      <c r="G62" s="34" t="n">
        <v>81.6900024414063</v>
      </c>
      <c r="H62" s="34" t="n">
        <v>89.9400024414063</v>
      </c>
      <c r="I62" s="34" t="n">
        <v>362.320007324219</v>
      </c>
      <c r="J62" s="34" t="n">
        <v>89.1999969482422</v>
      </c>
      <c r="L62" s="35" t="n">
        <f aca="false">IF(COUNT(N62:V62)&lt;9,"",SUMPRODUCT($B$12:$J$12,N62:V62))</f>
        <v>-0.00352152518374702</v>
      </c>
      <c r="N62" s="35" t="n">
        <f aca="false">IF(OR(B62="",B61="",B61=0),"",B62/B61-1)</f>
        <v>-0.0118535960177365</v>
      </c>
      <c r="O62" s="35" t="n">
        <f aca="false">IF(OR(C62="",C61="",C61=0),"",C62/C61-1)</f>
        <v>0.00367969075216923</v>
      </c>
      <c r="P62" s="35" t="n">
        <f aca="false">IF(OR(D62="",D61="",D61=0),"",D62/D61-1)</f>
        <v>-0.00522215742614185</v>
      </c>
      <c r="Q62" s="35" t="n">
        <f aca="false">IF(OR(E62="",E61="",E61=0),"",E62/E61-1)</f>
        <v>0.00322133641797118</v>
      </c>
      <c r="R62" s="35" t="n">
        <f aca="false">IF(OR(F62="",F61="",F61=0),"",F62/F61-1)</f>
        <v>-0.000323278168879559</v>
      </c>
      <c r="S62" s="35" t="n">
        <f aca="false">IF(OR(G62="",G61="",G61=0),"",G62/G61-1)</f>
        <v>-0.00110046880941483</v>
      </c>
      <c r="T62" s="35" t="n">
        <f aca="false">IF(OR(H62="",H61="",H61=0),"",H62/H61-1)</f>
        <v>0.0022287116380415</v>
      </c>
      <c r="U62" s="35" t="n">
        <f aca="false">IF(OR(I62="",I61="",I61=0),"",I62/I61-1)</f>
        <v>-0.0175171958253194</v>
      </c>
      <c r="V62" s="35" t="n">
        <f aca="false">IF(OR(J62="",J61="",J61=0),"",J62/J61-1)</f>
        <v>0.00168437834187629</v>
      </c>
    </row>
    <row r="63" customFormat="false" ht="15" hidden="false" customHeight="false" outlineLevel="0" collapsed="false">
      <c r="A63" s="33" t="n">
        <v>45966</v>
      </c>
      <c r="B63" s="34" t="n">
        <v>677.580017089844</v>
      </c>
      <c r="C63" s="34" t="n">
        <v>270.140014648438</v>
      </c>
      <c r="D63" s="34" t="n">
        <v>507.160003662109</v>
      </c>
      <c r="E63" s="34" t="n">
        <v>186</v>
      </c>
      <c r="F63" s="34" t="n">
        <v>311.679992675781</v>
      </c>
      <c r="G63" s="34" t="n">
        <v>82.1399993896484</v>
      </c>
      <c r="H63" s="34" t="n">
        <v>88.9599990844727</v>
      </c>
      <c r="I63" s="34" t="n">
        <v>366.510009765625</v>
      </c>
      <c r="J63" s="34" t="n">
        <v>89.2799987792969</v>
      </c>
      <c r="L63" s="35" t="n">
        <f aca="false">IF(COUNT(N63:V63)&lt;9,"",SUMPRODUCT($B$12:$J$12,N63:V63))</f>
        <v>-0.000447940734378754</v>
      </c>
      <c r="N63" s="35" t="n">
        <f aca="false">IF(OR(B63="",B62="",B62=0),"",B63/B62-1)</f>
        <v>0.00346547433403166</v>
      </c>
      <c r="O63" s="35" t="n">
        <f aca="false">IF(OR(C63="",C62="",C62=0),"",C63/C62-1)</f>
        <v>0.000370338099361156</v>
      </c>
      <c r="P63" s="35" t="n">
        <f aca="false">IF(OR(D63="",D62="",D62=0),"",D63/D62-1)</f>
        <v>-0.0139404918816599</v>
      </c>
      <c r="Q63" s="35" t="n">
        <f aca="false">IF(OR(E63="",E62="",E62=0),"",E63/E62-1)</f>
        <v>-0.00460237936178376</v>
      </c>
      <c r="R63" s="35" t="n">
        <f aca="false">IF(OR(F63="",F62="",F62=0),"",F63/F62-1)</f>
        <v>0.00785769660721436</v>
      </c>
      <c r="S63" s="35" t="n">
        <f aca="false">IF(OR(G63="",G62="",G62=0),"",G63/G62-1)</f>
        <v>0.00550859266487169</v>
      </c>
      <c r="T63" s="35" t="n">
        <f aca="false">IF(OR(H63="",H62="",H62=0),"",H63/H62-1)</f>
        <v>-0.0108961900192526</v>
      </c>
      <c r="U63" s="35" t="n">
        <f aca="false">IF(OR(I63="",I62="",I62=0),"",I63/I62-1)</f>
        <v>0.0115643694985264</v>
      </c>
      <c r="V63" s="35" t="n">
        <f aca="false">IF(OR(J63="",J62="",J62=0),"",J63/J62-1)</f>
        <v>0.000896881544750761</v>
      </c>
    </row>
    <row r="64" customFormat="false" ht="15" hidden="false" customHeight="false" outlineLevel="0" collapsed="false">
      <c r="A64" s="33" t="n">
        <v>45967</v>
      </c>
      <c r="B64" s="34" t="n">
        <v>670.309997558594</v>
      </c>
      <c r="C64" s="34" t="n">
        <v>269.769989013672</v>
      </c>
      <c r="D64" s="34" t="n">
        <v>497.100006103516</v>
      </c>
      <c r="E64" s="34" t="n">
        <v>186.970001220703</v>
      </c>
      <c r="F64" s="34" t="n">
        <v>313.420013427734</v>
      </c>
      <c r="G64" s="34" t="n">
        <v>82</v>
      </c>
      <c r="H64" s="34" t="n">
        <v>89.7600021362305</v>
      </c>
      <c r="I64" s="34" t="n">
        <v>366.070007324219</v>
      </c>
      <c r="J64" s="34" t="n">
        <v>88.8499984741211</v>
      </c>
      <c r="L64" s="35" t="n">
        <f aca="false">IF(COUNT(N64:V64)&lt;9,"",SUMPRODUCT($B$12:$J$12,N64:V64))</f>
        <v>-0.00336437714387465</v>
      </c>
      <c r="N64" s="35" t="n">
        <f aca="false">IF(OR(B64="",B63="",B63=0),"",B64/B63-1)</f>
        <v>-0.0107293889251253</v>
      </c>
      <c r="O64" s="35" t="n">
        <f aca="false">IF(OR(C64="",C63="",C63=0),"",C64/C63-1)</f>
        <v>-0.00136975499630287</v>
      </c>
      <c r="P64" s="35" t="n">
        <f aca="false">IF(OR(D64="",D63="",D63=0),"",D64/D63-1)</f>
        <v>-0.0198359442502397</v>
      </c>
      <c r="Q64" s="35" t="n">
        <f aca="false">IF(OR(E64="",E63="",E63=0),"",E64/E63-1)</f>
        <v>0.00521506032636032</v>
      </c>
      <c r="R64" s="35" t="n">
        <f aca="false">IF(OR(F64="",F63="",F63=0),"",F64/F63-1)</f>
        <v>0.00558271558278367</v>
      </c>
      <c r="S64" s="35" t="n">
        <f aca="false">IF(OR(G64="",G63="",G63=0),"",G64/G63-1)</f>
        <v>-0.00170439969185143</v>
      </c>
      <c r="T64" s="35" t="n">
        <f aca="false">IF(OR(H64="",H63="",H63=0),"",H64/H63-1)</f>
        <v>0.00899284015277635</v>
      </c>
      <c r="U64" s="35" t="n">
        <f aca="false">IF(OR(I64="",I63="",I63=0),"",I64/I63-1)</f>
        <v>-0.00120051957567924</v>
      </c>
      <c r="V64" s="35" t="n">
        <f aca="false">IF(OR(J64="",J63="",J63=0),"",J64/J63-1)</f>
        <v>-0.00481631172776764</v>
      </c>
    </row>
    <row r="65" customFormat="false" ht="15" hidden="false" customHeight="false" outlineLevel="0" collapsed="false">
      <c r="A65" s="33" t="n">
        <v>45968</v>
      </c>
      <c r="B65" s="34" t="n">
        <v>670.969970703125</v>
      </c>
      <c r="C65" s="34" t="n">
        <v>268.470001220703</v>
      </c>
      <c r="D65" s="34" t="n">
        <v>496.820007324219</v>
      </c>
      <c r="E65" s="34" t="n">
        <v>186.570007324219</v>
      </c>
      <c r="F65" s="34" t="n">
        <v>314.209991455078</v>
      </c>
      <c r="G65" s="34" t="n">
        <v>83.9300003051758</v>
      </c>
      <c r="H65" s="34" t="n">
        <v>89.5699996948242</v>
      </c>
      <c r="I65" s="34" t="n">
        <v>368.309997558594</v>
      </c>
      <c r="J65" s="34" t="n">
        <v>90.2300033569336</v>
      </c>
      <c r="L65" s="35" t="n">
        <f aca="false">IF(COUNT(N65:V65)&lt;9,"",SUMPRODUCT($B$12:$J$12,N65:V65))</f>
        <v>0.00185667558394593</v>
      </c>
      <c r="N65" s="35" t="n">
        <f aca="false">IF(OR(B65="",B64="",B64=0),"",B65/B64-1)</f>
        <v>0.000984578996187979</v>
      </c>
      <c r="O65" s="35" t="n">
        <f aca="false">IF(OR(C65="",C64="",C64=0),"",C65/C64-1)</f>
        <v>-0.00481887476706344</v>
      </c>
      <c r="P65" s="35" t="n">
        <f aca="false">IF(OR(D65="",D64="",D64=0),"",D65/D64-1)</f>
        <v>-0.000563264485735515</v>
      </c>
      <c r="Q65" s="35" t="n">
        <f aca="false">IF(OR(E65="",E64="",E64=0),"",E65/E64-1)</f>
        <v>-0.00213934799097448</v>
      </c>
      <c r="R65" s="35" t="n">
        <f aca="false">IF(OR(F65="",F64="",F64=0),"",F65/F64-1)</f>
        <v>0.0025205092001126</v>
      </c>
      <c r="S65" s="35" t="n">
        <f aca="false">IF(OR(G65="",G64="",G64=0),"",G65/G64-1)</f>
        <v>0.0235365890875097</v>
      </c>
      <c r="T65" s="35" t="n">
        <f aca="false">IF(OR(H65="",H64="",H64=0),"",H65/H64-1)</f>
        <v>-0.00211678294211626</v>
      </c>
      <c r="U65" s="35" t="n">
        <f aca="false">IF(OR(I65="",I64="",I64=0),"",I65/I64-1)</f>
        <v>0.00611902147009569</v>
      </c>
      <c r="V65" s="35" t="n">
        <f aca="false">IF(OR(J65="",J64="",J64=0),"",J65/J64-1)</f>
        <v>0.015531850382805</v>
      </c>
    </row>
    <row r="66" customFormat="false" ht="15" hidden="false" customHeight="false" outlineLevel="0" collapsed="false">
      <c r="A66" s="33" t="n">
        <v>45971</v>
      </c>
      <c r="B66" s="34" t="n">
        <v>681.440002441406</v>
      </c>
      <c r="C66" s="34" t="n">
        <v>269.429992675781</v>
      </c>
      <c r="D66" s="34" t="n">
        <v>506</v>
      </c>
      <c r="E66" s="34" t="n">
        <v>188.410003662109</v>
      </c>
      <c r="F66" s="34" t="n">
        <v>316.890014648438</v>
      </c>
      <c r="G66" s="34" t="n">
        <v>84.7699966430664</v>
      </c>
      <c r="H66" s="34" t="n">
        <v>89.5500030517578</v>
      </c>
      <c r="I66" s="34" t="n">
        <v>378.380004882813</v>
      </c>
      <c r="J66" s="34" t="n">
        <v>90.1800003051758</v>
      </c>
      <c r="L66" s="35" t="n">
        <f aca="false">IF(COUNT(N66:V66)&lt;9,"",SUMPRODUCT($B$12:$J$12,N66:V66))</f>
        <v>0.0108888922765999</v>
      </c>
      <c r="N66" s="35" t="n">
        <f aca="false">IF(OR(B66="",B65="",B65=0),"",B66/B65-1)</f>
        <v>0.0156043223921172</v>
      </c>
      <c r="O66" s="35" t="n">
        <f aca="false">IF(OR(C66="",C65="",C65=0),"",C66/C65-1)</f>
        <v>0.00357578668273195</v>
      </c>
      <c r="P66" s="35" t="n">
        <f aca="false">IF(OR(D66="",D65="",D65=0),"",D66/D65-1)</f>
        <v>0.0184775019935746</v>
      </c>
      <c r="Q66" s="35" t="n">
        <f aca="false">IF(OR(E66="",E65="",E65=0),"",E66/E65-1)</f>
        <v>0.00986223007802356</v>
      </c>
      <c r="R66" s="35" t="n">
        <f aca="false">IF(OR(F66="",F65="",F65=0),"",F66/F65-1)</f>
        <v>0.00852940156660531</v>
      </c>
      <c r="S66" s="35" t="n">
        <f aca="false">IF(OR(G66="",G65="",G65=0),"",G66/G65-1)</f>
        <v>0.0100082966142776</v>
      </c>
      <c r="T66" s="35" t="n">
        <f aca="false">IF(OR(H66="",H65="",H65=0),"",H66/H65-1)</f>
        <v>-0.000223251570107608</v>
      </c>
      <c r="U66" s="35" t="n">
        <f aca="false">IF(OR(I66="",I65="",I65=0),"",I66/I65-1)</f>
        <v>0.0273411185983812</v>
      </c>
      <c r="V66" s="35" t="n">
        <f aca="false">IF(OR(J66="",J65="",J65=0),"",J66/J65-1)</f>
        <v>-0.000554173222846899</v>
      </c>
    </row>
    <row r="67" customFormat="false" ht="15" hidden="false" customHeight="false" outlineLevel="0" collapsed="false">
      <c r="A67" s="33" t="n">
        <v>45972</v>
      </c>
      <c r="B67" s="34" t="n">
        <v>683</v>
      </c>
      <c r="C67" s="34" t="n">
        <v>275.25</v>
      </c>
      <c r="D67" s="34" t="n">
        <v>508.679992675781</v>
      </c>
      <c r="E67" s="34" t="n">
        <v>193.830001831055</v>
      </c>
      <c r="F67" s="34" t="n">
        <v>315.619995117188</v>
      </c>
      <c r="G67" s="34" t="n">
        <v>85.7600021362305</v>
      </c>
      <c r="H67" s="34" t="n">
        <v>89.9599990844727</v>
      </c>
      <c r="I67" s="34" t="n">
        <v>379.869995117188</v>
      </c>
      <c r="J67" s="34" t="n">
        <v>91.1900024414063</v>
      </c>
      <c r="L67" s="35" t="n">
        <f aca="false">IF(COUNT(N67:V67)&lt;9,"",SUMPRODUCT($B$12:$J$12,N67:V67))</f>
        <v>0.00949862785845396</v>
      </c>
      <c r="N67" s="35" t="n">
        <f aca="false">IF(OR(B67="",B66="",B66=0),"",B67/B66-1)</f>
        <v>0.00228926619072101</v>
      </c>
      <c r="O67" s="35" t="n">
        <f aca="false">IF(OR(C67="",C66="",C66=0),"",C67/C66-1)</f>
        <v>0.0216011857715577</v>
      </c>
      <c r="P67" s="35" t="n">
        <f aca="false">IF(OR(D67="",D66="",D66=0),"",D67/D66-1)</f>
        <v>0.00529642821300591</v>
      </c>
      <c r="Q67" s="35" t="n">
        <f aca="false">IF(OR(E67="",E66="",E66=0),"",E67/E66-1)</f>
        <v>0.0287670403035825</v>
      </c>
      <c r="R67" s="35" t="n">
        <f aca="false">IF(OR(F67="",F66="",F66=0),"",F67/F66-1)</f>
        <v>-0.00400776128165159</v>
      </c>
      <c r="S67" s="35" t="n">
        <f aca="false">IF(OR(G67="",G66="",G66=0),"",G67/G66-1)</f>
        <v>0.0116787251665542</v>
      </c>
      <c r="T67" s="35" t="n">
        <f aca="false">IF(OR(H67="",H66="",H66=0),"",H67/H66-1)</f>
        <v>0.00457840333604387</v>
      </c>
      <c r="U67" s="35" t="n">
        <f aca="false">IF(OR(I67="",I66="",I66=0),"",I67/I66-1)</f>
        <v>0.00393781440654206</v>
      </c>
      <c r="V67" s="35" t="n">
        <f aca="false">IF(OR(J67="",J66="",J66=0),"",J67/J66-1)</f>
        <v>0.0111998462276846</v>
      </c>
    </row>
    <row r="68" customFormat="false" ht="15" hidden="false" customHeight="false" outlineLevel="0" collapsed="false">
      <c r="A68" s="33" t="n">
        <v>45973</v>
      </c>
      <c r="B68" s="34" t="n">
        <v>683.380004882813</v>
      </c>
      <c r="C68" s="34" t="n">
        <v>273.470001220703</v>
      </c>
      <c r="D68" s="34" t="n">
        <v>511.140014648438</v>
      </c>
      <c r="E68" s="34" t="n">
        <v>194.389999389648</v>
      </c>
      <c r="F68" s="34" t="n">
        <v>320.410003662109</v>
      </c>
      <c r="G68" s="34" t="n">
        <v>85.8899993896484</v>
      </c>
      <c r="H68" s="34" t="n">
        <v>90.120002746582</v>
      </c>
      <c r="I68" s="34" t="n">
        <v>385.989990234375</v>
      </c>
      <c r="J68" s="34" t="n">
        <v>90.5100021362305</v>
      </c>
      <c r="L68" s="35" t="n">
        <f aca="false">IF(COUNT(N68:V68)&lt;9,"",SUMPRODUCT($B$12:$J$12,N68:V68))</f>
        <v>0.00267327302814879</v>
      </c>
      <c r="N68" s="35" t="n">
        <f aca="false">IF(OR(B68="",B67="",B67=0),"",B68/B67-1)</f>
        <v>0.000556376109535739</v>
      </c>
      <c r="O68" s="35" t="n">
        <f aca="false">IF(OR(C68="",C67="",C67=0),"",C68/C67-1)</f>
        <v>-0.00646684388482099</v>
      </c>
      <c r="P68" s="35" t="n">
        <f aca="false">IF(OR(D68="",D67="",D67=0),"",D68/D67-1)</f>
        <v>0.00483608950239356</v>
      </c>
      <c r="Q68" s="35" t="n">
        <f aca="false">IF(OR(E68="",E67="",E67=0),"",E68/E67-1)</f>
        <v>0.00288911702679084</v>
      </c>
      <c r="R68" s="35" t="n">
        <f aca="false">IF(OR(F68="",F67="",F67=0),"",F68/F67-1)</f>
        <v>0.015176505351451</v>
      </c>
      <c r="S68" s="35" t="n">
        <f aca="false">IF(OR(G68="",G67="",G67=0),"",G68/G67-1)</f>
        <v>0.00151582614481982</v>
      </c>
      <c r="T68" s="35" t="n">
        <f aca="false">IF(OR(H68="",H67="",H67=0),"",H68/H67-1)</f>
        <v>0.00177860897885362</v>
      </c>
      <c r="U68" s="35" t="n">
        <f aca="false">IF(OR(I68="",I67="",I67=0),"",I68/I67-1)</f>
        <v>0.0161107620919072</v>
      </c>
      <c r="V68" s="35" t="n">
        <f aca="false">IF(OR(J68="",J67="",J67=0),"",J68/J67-1)</f>
        <v>-0.00745696114673033</v>
      </c>
    </row>
    <row r="69" customFormat="false" ht="15" hidden="false" customHeight="false" outlineLevel="0" collapsed="false">
      <c r="A69" s="33" t="n">
        <v>45974</v>
      </c>
      <c r="B69" s="34" t="n">
        <v>672.039978027344</v>
      </c>
      <c r="C69" s="34" t="n">
        <v>272.950012207031</v>
      </c>
      <c r="D69" s="34" t="n">
        <v>503.290008544922</v>
      </c>
      <c r="E69" s="34" t="n">
        <v>195.25</v>
      </c>
      <c r="F69" s="34" t="n">
        <v>309.480010986328</v>
      </c>
      <c r="G69" s="34" t="n">
        <v>83.9899978637695</v>
      </c>
      <c r="H69" s="34" t="n">
        <v>89.379997253418</v>
      </c>
      <c r="I69" s="34" t="n">
        <v>382.869995117188</v>
      </c>
      <c r="J69" s="34" t="n">
        <v>89.4000015258789</v>
      </c>
      <c r="L69" s="35" t="n">
        <f aca="false">IF(COUNT(N69:V69)&lt;9,"",SUMPRODUCT($B$12:$J$12,N69:V69))</f>
        <v>-0.0115806664827468</v>
      </c>
      <c r="N69" s="35" t="n">
        <f aca="false">IF(OR(B69="",B68="",B68=0),"",B69/B68-1)</f>
        <v>-0.0165940278826472</v>
      </c>
      <c r="O69" s="35" t="n">
        <f aca="false">IF(OR(C69="",C68="",C68=0),"",C69/C68-1)</f>
        <v>-0.00190144809796644</v>
      </c>
      <c r="P69" s="35" t="n">
        <f aca="false">IF(OR(D69="",D68="",D68=0),"",D69/D68-1)</f>
        <v>-0.0153578391019049</v>
      </c>
      <c r="Q69" s="35" t="n">
        <f aca="false">IF(OR(E69="",E68="",E68=0),"",E69/E68-1)</f>
        <v>0.00442409904342944</v>
      </c>
      <c r="R69" s="35" t="n">
        <f aca="false">IF(OR(F69="",F68="",F68=0),"",F69/F68-1)</f>
        <v>-0.0341125200551081</v>
      </c>
      <c r="S69" s="35" t="n">
        <f aca="false">IF(OR(G69="",G68="",G68=0),"",G69/G68-1)</f>
        <v>-0.0221213358875385</v>
      </c>
      <c r="T69" s="35" t="n">
        <f aca="false">IF(OR(H69="",H68="",H68=0),"",H69/H68-1)</f>
        <v>-0.00821133456070688</v>
      </c>
      <c r="U69" s="35" t="n">
        <f aca="false">IF(OR(I69="",I68="",I68=0),"",I69/I68-1)</f>
        <v>-0.00808309851582556</v>
      </c>
      <c r="V69" s="35" t="n">
        <f aca="false">IF(OR(J69="",J68="",J68=0),"",J69/J68-1)</f>
        <v>-0.0122638447039354</v>
      </c>
    </row>
    <row r="70" customFormat="false" ht="15" hidden="false" customHeight="false" outlineLevel="0" collapsed="false">
      <c r="A70" s="33" t="n">
        <v>45975</v>
      </c>
      <c r="B70" s="34" t="n">
        <v>671.929992675781</v>
      </c>
      <c r="C70" s="34" t="n">
        <v>272.410003662109</v>
      </c>
      <c r="D70" s="34" t="n">
        <v>510.179992675781</v>
      </c>
      <c r="E70" s="34" t="n">
        <v>195.929992675781</v>
      </c>
      <c r="F70" s="34" t="n">
        <v>303.609985351563</v>
      </c>
      <c r="G70" s="34" t="n">
        <v>83.879997253418</v>
      </c>
      <c r="H70" s="34" t="n">
        <v>88.870002746582</v>
      </c>
      <c r="I70" s="34" t="n">
        <v>375.959991455078</v>
      </c>
      <c r="J70" s="34" t="n">
        <v>89.5899963378906</v>
      </c>
      <c r="L70" s="35" t="n">
        <f aca="false">IF(COUNT(N70:V70)&lt;9,"",SUMPRODUCT($B$12:$J$12,N70:V70))</f>
        <v>-0.00231639703048119</v>
      </c>
      <c r="N70" s="35" t="n">
        <f aca="false">IF(OR(B70="",B69="",B69=0),"",B70/B69-1)</f>
        <v>-0.000163658941668587</v>
      </c>
      <c r="O70" s="35" t="n">
        <f aca="false">IF(OR(C70="",C69="",C69=0),"",C70/C69-1)</f>
        <v>-0.001978415536807</v>
      </c>
      <c r="P70" s="35" t="n">
        <f aca="false">IF(OR(D70="",D69="",D69=0),"",D70/D69-1)</f>
        <v>0.0136898885610284</v>
      </c>
      <c r="Q70" s="35" t="n">
        <f aca="false">IF(OR(E70="",E69="",E69=0),"",E70/E69-1)</f>
        <v>0.00348267695662474</v>
      </c>
      <c r="R70" s="35" t="n">
        <f aca="false">IF(OR(F70="",F69="",F69=0),"",F70/F69-1)</f>
        <v>-0.0189673821454799</v>
      </c>
      <c r="S70" s="35" t="n">
        <f aca="false">IF(OR(G70="",G69="",G69=0),"",G70/G69-1)</f>
        <v>-0.00130968702404211</v>
      </c>
      <c r="T70" s="35" t="n">
        <f aca="false">IF(OR(H70="",H69="",H69=0),"",H70/H69-1)</f>
        <v>-0.0057059132077395</v>
      </c>
      <c r="U70" s="35" t="n">
        <f aca="false">IF(OR(I70="",I69="",I69=0),"",I70/I69-1)</f>
        <v>-0.0180479111715062</v>
      </c>
      <c r="V70" s="35" t="n">
        <f aca="false">IF(OR(J70="",J69="",J69=0),"",J70/J69-1)</f>
        <v>0.00212522157459572</v>
      </c>
    </row>
    <row r="71" customFormat="false" ht="15" hidden="false" customHeight="false" outlineLevel="0" collapsed="false">
      <c r="A71" s="33" t="n">
        <v>45978</v>
      </c>
      <c r="B71" s="34" t="n">
        <v>665.669982910156</v>
      </c>
      <c r="C71" s="34" t="n">
        <v>267.459991455078</v>
      </c>
      <c r="D71" s="34" t="n">
        <v>507.489990234375</v>
      </c>
      <c r="E71" s="34" t="n">
        <v>199.580001831055</v>
      </c>
      <c r="F71" s="34" t="n">
        <v>300.369995117188</v>
      </c>
      <c r="G71" s="34" t="n">
        <v>85.75</v>
      </c>
      <c r="H71" s="34" t="n">
        <v>89.0899963378906</v>
      </c>
      <c r="I71" s="34" t="n">
        <v>371.649993896484</v>
      </c>
      <c r="J71" s="34" t="n">
        <v>88.8499984741211</v>
      </c>
      <c r="L71" s="35" t="n">
        <f aca="false">IF(COUNT(N71:V71)&lt;9,"",SUMPRODUCT($B$12:$J$12,N71:V71))</f>
        <v>-0.00505200352232002</v>
      </c>
      <c r="N71" s="35" t="n">
        <f aca="false">IF(OR(B71="",B70="",B70=0),"",B71/B70-1)</f>
        <v>-0.00931646128891517</v>
      </c>
      <c r="O71" s="35" t="n">
        <f aca="false">IF(OR(C71="",C70="",C70=0),"",C71/C70-1)</f>
        <v>-0.0181711836587721</v>
      </c>
      <c r="P71" s="35" t="n">
        <f aca="false">IF(OR(D71="",D70="",D70=0),"",D71/D70-1)</f>
        <v>-0.00527265373010333</v>
      </c>
      <c r="Q71" s="35" t="n">
        <f aca="false">IF(OR(E71="",E70="",E70=0),"",E71/E70-1)</f>
        <v>0.0186291496540498</v>
      </c>
      <c r="R71" s="35" t="n">
        <f aca="false">IF(OR(F71="",F70="",F70=0),"",F71/F70-1)</f>
        <v>-0.010671553607248</v>
      </c>
      <c r="S71" s="35" t="n">
        <f aca="false">IF(OR(G71="",G70="",G70=0),"",G71/G70-1)</f>
        <v>0.0222937864546222</v>
      </c>
      <c r="T71" s="35" t="n">
        <f aca="false">IF(OR(H71="",H70="",H70=0),"",H71/H70-1)</f>
        <v>0.00247545385967762</v>
      </c>
      <c r="U71" s="35" t="n">
        <f aca="false">IF(OR(I71="",I70="",I70=0),"",I71/I70-1)</f>
        <v>-0.0114639792971403</v>
      </c>
      <c r="V71" s="35" t="n">
        <f aca="false">IF(OR(J71="",J70="",J70=0),"",J71/J70-1)</f>
        <v>-0.00825982692284732</v>
      </c>
    </row>
    <row r="72" customFormat="false" ht="15" hidden="false" customHeight="false" outlineLevel="0" collapsed="false">
      <c r="A72" s="33" t="n">
        <v>45979</v>
      </c>
      <c r="B72" s="34" t="n">
        <v>660.080017089844</v>
      </c>
      <c r="C72" s="34" t="n">
        <v>267.440002441406</v>
      </c>
      <c r="D72" s="34" t="n">
        <v>493.790008544922</v>
      </c>
      <c r="E72" s="34" t="n">
        <v>200</v>
      </c>
      <c r="F72" s="34" t="n">
        <v>299.410003662109</v>
      </c>
      <c r="G72" s="34" t="n">
        <v>84.6399993896484</v>
      </c>
      <c r="H72" s="34" t="n">
        <v>89.0599975585938</v>
      </c>
      <c r="I72" s="34" t="n">
        <v>374.350006103516</v>
      </c>
      <c r="J72" s="34" t="n">
        <v>89.2099990844727</v>
      </c>
      <c r="L72" s="35" t="n">
        <f aca="false">IF(COUNT(N72:V72)&lt;9,"",SUMPRODUCT($B$12:$J$12,N72:V72))</f>
        <v>-0.00465027605439134</v>
      </c>
      <c r="N72" s="35" t="n">
        <f aca="false">IF(OR(B72="",B71="",B71=0),"",B72/B71-1)</f>
        <v>-0.00839750321303956</v>
      </c>
      <c r="O72" s="35" t="n">
        <f aca="false">IF(OR(C72="",C71="",C71=0),"",C72/C71-1)</f>
        <v>-7.47364626882963E-005</v>
      </c>
      <c r="P72" s="35" t="n">
        <f aca="false">IF(OR(D72="",D71="",D71=0),"",D72/D71-1)</f>
        <v>-0.0269955702636143</v>
      </c>
      <c r="Q72" s="35" t="n">
        <f aca="false">IF(OR(E72="",E71="",E71=0),"",E72/E71-1)</f>
        <v>0.00210441008664053</v>
      </c>
      <c r="R72" s="35" t="n">
        <f aca="false">IF(OR(F72="",F71="",F71=0),"",F72/F71-1)</f>
        <v>-0.00319602979886358</v>
      </c>
      <c r="S72" s="35" t="n">
        <f aca="false">IF(OR(G72="",G71="",G71=0),"",G72/G71-1)</f>
        <v>-0.0129446135317971</v>
      </c>
      <c r="T72" s="35" t="n">
        <f aca="false">IF(OR(H72="",H71="",H71=0),"",H72/H71-1)</f>
        <v>-0.000336724441911684</v>
      </c>
      <c r="U72" s="35" t="n">
        <f aca="false">IF(OR(I72="",I71="",I71=0),"",I72/I71-1)</f>
        <v>0.00726493273610562</v>
      </c>
      <c r="V72" s="35" t="n">
        <f aca="false">IF(OR(J72="",J71="",J71=0),"",J72/J71-1)</f>
        <v>0.00405177958957936</v>
      </c>
    </row>
    <row r="73" customFormat="false" ht="15" hidden="false" customHeight="false" outlineLevel="0" collapsed="false">
      <c r="A73" s="33" t="n">
        <v>45980</v>
      </c>
      <c r="B73" s="34" t="n">
        <v>662.630004882813</v>
      </c>
      <c r="C73" s="34" t="n">
        <v>268.559997558594</v>
      </c>
      <c r="D73" s="34" t="n">
        <v>487.119995117188</v>
      </c>
      <c r="E73" s="34" t="n">
        <v>202.509994506836</v>
      </c>
      <c r="F73" s="34" t="n">
        <v>303.269989013672</v>
      </c>
      <c r="G73" s="34" t="n">
        <v>84.2699966430664</v>
      </c>
      <c r="H73" s="34" t="n">
        <v>88.879997253418</v>
      </c>
      <c r="I73" s="34" t="n">
        <v>374.959991455078</v>
      </c>
      <c r="J73" s="34" t="n">
        <v>88.5100021362305</v>
      </c>
      <c r="L73" s="35" t="n">
        <f aca="false">IF(COUNT(N73:V73)&lt;9,"",SUMPRODUCT($B$12:$J$12,N73:V73))</f>
        <v>0.00141548092218848</v>
      </c>
      <c r="N73" s="35" t="n">
        <f aca="false">IF(OR(B73="",B72="",B72=0),"",B73/B72-1)</f>
        <v>0.00386314950755717</v>
      </c>
      <c r="O73" s="35" t="n">
        <f aca="false">IF(OR(C73="",C72="",C72=0),"",C73/C72-1)</f>
        <v>0.00418783692403424</v>
      </c>
      <c r="P73" s="35" t="n">
        <f aca="false">IF(OR(D73="",D72="",D72=0),"",D73/D72-1)</f>
        <v>-0.0135077934188844</v>
      </c>
      <c r="Q73" s="35" t="n">
        <f aca="false">IF(OR(E73="",E72="",E72=0),"",E73/E72-1)</f>
        <v>0.01254997253418</v>
      </c>
      <c r="R73" s="35" t="n">
        <f aca="false">IF(OR(F73="",F72="",F72=0),"",F73/F72-1)</f>
        <v>0.0128919718925593</v>
      </c>
      <c r="S73" s="35" t="n">
        <f aca="false">IF(OR(G73="",G72="",G72=0),"",G73/G72-1)</f>
        <v>-0.00437148805824827</v>
      </c>
      <c r="T73" s="35" t="n">
        <f aca="false">IF(OR(H73="",H72="",H72=0),"",H73/H72-1)</f>
        <v>-0.00202111284650985</v>
      </c>
      <c r="U73" s="35" t="n">
        <f aca="false">IF(OR(I73="",I72="",I72=0),"",I73/I72-1)</f>
        <v>0.00162945196104336</v>
      </c>
      <c r="V73" s="35" t="n">
        <f aca="false">IF(OR(J73="",J72="",J72=0),"",J73/J72-1)</f>
        <v>-0.00784661983439072</v>
      </c>
    </row>
    <row r="74" customFormat="false" ht="15" hidden="false" customHeight="false" outlineLevel="0" collapsed="false">
      <c r="A74" s="33" t="n">
        <v>45981</v>
      </c>
      <c r="B74" s="34" t="n">
        <v>652.530029296875</v>
      </c>
      <c r="C74" s="34" t="n">
        <v>266.25</v>
      </c>
      <c r="D74" s="34" t="n">
        <v>478.429992675781</v>
      </c>
      <c r="E74" s="34" t="n">
        <v>203.070007324219</v>
      </c>
      <c r="F74" s="34" t="n">
        <v>298.380004882813</v>
      </c>
      <c r="G74" s="34" t="n">
        <v>84.3000030517578</v>
      </c>
      <c r="H74" s="34" t="n">
        <v>89.2300033569336</v>
      </c>
      <c r="I74" s="34" t="n">
        <v>374.850006103516</v>
      </c>
      <c r="J74" s="34" t="n">
        <v>88.1399993896484</v>
      </c>
      <c r="L74" s="35" t="n">
        <f aca="false">IF(COUNT(N74:V74)&lt;9,"",SUMPRODUCT($B$12:$J$12,N74:V74))</f>
        <v>-0.00769312220695153</v>
      </c>
      <c r="N74" s="35" t="n">
        <f aca="false">IF(OR(B74="",B73="",B73=0),"",B74/B73-1)</f>
        <v>-0.0152422551220333</v>
      </c>
      <c r="O74" s="35" t="n">
        <f aca="false">IF(OR(C74="",C73="",C73=0),"",C74/C73-1)</f>
        <v>-0.00860142083554338</v>
      </c>
      <c r="P74" s="35" t="n">
        <f aca="false">IF(OR(D74="",D73="",D73=0),"",D74/D73-1)</f>
        <v>-0.0178395519143418</v>
      </c>
      <c r="Q74" s="35" t="n">
        <f aca="false">IF(OR(E74="",E73="",E73=0),"",E74/E73-1)</f>
        <v>0.00276535890856544</v>
      </c>
      <c r="R74" s="35" t="n">
        <f aca="false">IF(OR(F74="",F73="",F73=0),"",F74/F73-1)</f>
        <v>-0.016124193978978</v>
      </c>
      <c r="S74" s="35" t="n">
        <f aca="false">IF(OR(G74="",G73="",G73=0),"",G74/G73-1)</f>
        <v>0.000356074639690451</v>
      </c>
      <c r="T74" s="35" t="n">
        <f aca="false">IF(OR(H74="",H73="",H73=0),"",H74/H73-1)</f>
        <v>0.00393796258248802</v>
      </c>
      <c r="U74" s="35" t="n">
        <f aca="false">IF(OR(I74="",I73="",I73=0),"",I74/I73-1)</f>
        <v>-0.000293325565576152</v>
      </c>
      <c r="V74" s="35" t="n">
        <f aca="false">IF(OR(J74="",J73="",J73=0),"",J74/J73-1)</f>
        <v>-0.00418034953849178</v>
      </c>
    </row>
    <row r="75" customFormat="false" ht="15" hidden="false" customHeight="false" outlineLevel="0" collapsed="false">
      <c r="A75" s="33" t="n">
        <v>45982</v>
      </c>
      <c r="B75" s="34" t="n">
        <v>659.030029296875</v>
      </c>
      <c r="C75" s="34" t="n">
        <v>271.489990234375</v>
      </c>
      <c r="D75" s="34" t="n">
        <v>472.119995117188</v>
      </c>
      <c r="E75" s="34" t="n">
        <v>203.899993896484</v>
      </c>
      <c r="F75" s="34" t="n">
        <v>298.019989013672</v>
      </c>
      <c r="G75" s="34" t="n">
        <v>83.4800033569336</v>
      </c>
      <c r="H75" s="34" t="n">
        <v>89.5</v>
      </c>
      <c r="I75" s="34" t="n">
        <v>374.269989013672</v>
      </c>
      <c r="J75" s="34" t="n">
        <v>89.5699996948242</v>
      </c>
      <c r="L75" s="35" t="n">
        <f aca="false">IF(COUNT(N75:V75)&lt;9,"",SUMPRODUCT($B$12:$J$12,N75:V75))</f>
        <v>0.00475792271329099</v>
      </c>
      <c r="N75" s="35" t="n">
        <f aca="false">IF(OR(B75="",B74="",B74=0),"",B75/B74-1)</f>
        <v>0.00996122738903527</v>
      </c>
      <c r="O75" s="35" t="n">
        <f aca="false">IF(OR(C75="",C74="",C74=0),"",C75/C74-1)</f>
        <v>0.0196807144953051</v>
      </c>
      <c r="P75" s="35" t="n">
        <f aca="false">IF(OR(D75="",D74="",D74=0),"",D75/D74-1)</f>
        <v>-0.0131889673623976</v>
      </c>
      <c r="Q75" s="35" t="n">
        <f aca="false">IF(OR(E75="",E74="",E74=0),"",E75/E74-1)</f>
        <v>0.00408719427945781</v>
      </c>
      <c r="R75" s="35" t="n">
        <f aca="false">IF(OR(F75="",F74="",F74=0),"",F75/F74-1)</f>
        <v>-0.00120656834657007</v>
      </c>
      <c r="S75" s="35" t="n">
        <f aca="false">IF(OR(G75="",G74="",G74=0),"",G75/G74-1)</f>
        <v>-0.00972716091505654</v>
      </c>
      <c r="T75" s="35" t="n">
        <f aca="false">IF(OR(H75="",H74="",H74=0),"",H75/H74-1)</f>
        <v>0.00302585041924042</v>
      </c>
      <c r="U75" s="35" t="n">
        <f aca="false">IF(OR(I75="",I74="",I74=0),"",I75/I74-1)</f>
        <v>-0.00154733114685846</v>
      </c>
      <c r="V75" s="35" t="n">
        <f aca="false">IF(OR(J75="",J74="",J74=0),"",J75/J74-1)</f>
        <v>0.0162241923653084</v>
      </c>
    </row>
    <row r="76" customFormat="false" ht="15" hidden="false" customHeight="false" outlineLevel="0" collapsed="false">
      <c r="A76" s="33" t="n">
        <v>45985</v>
      </c>
      <c r="B76" s="34" t="n">
        <v>668.72998046875</v>
      </c>
      <c r="C76" s="34" t="n">
        <v>275.920013427734</v>
      </c>
      <c r="D76" s="34" t="n">
        <v>474</v>
      </c>
      <c r="E76" s="34" t="n">
        <v>206.050003051758</v>
      </c>
      <c r="F76" s="34" t="n">
        <v>298</v>
      </c>
      <c r="G76" s="34" t="n">
        <v>84.2300033569336</v>
      </c>
      <c r="H76" s="34" t="n">
        <v>90.0100021362305</v>
      </c>
      <c r="I76" s="34" t="n">
        <v>380.200012207031</v>
      </c>
      <c r="J76" s="34" t="n">
        <v>89.8099975585938</v>
      </c>
      <c r="L76" s="35" t="n">
        <f aca="false">IF(COUNT(N76:V76)&lt;9,"",SUMPRODUCT($B$12:$J$12,N76:V76))</f>
        <v>0.0099199657068366</v>
      </c>
      <c r="N76" s="35" t="n">
        <f aca="false">IF(OR(B76="",B75="",B75=0),"",B76/B75-1)</f>
        <v>0.0147185268359076</v>
      </c>
      <c r="O76" s="35" t="n">
        <f aca="false">IF(OR(C76="",C75="",C75=0),"",C76/C75-1)</f>
        <v>0.0163174457722532</v>
      </c>
      <c r="P76" s="35" t="n">
        <f aca="false">IF(OR(D76="",D75="",D75=0),"",D76/D75-1)</f>
        <v>0.00398204884829201</v>
      </c>
      <c r="Q76" s="35" t="n">
        <f aca="false">IF(OR(E76="",E75="",E75=0),"",E76/E75-1)</f>
        <v>0.010544429718647</v>
      </c>
      <c r="R76" s="35" t="n">
        <f aca="false">IF(OR(F76="",F75="",F75=0),"",F76/F75-1)</f>
        <v>-6.70727280346339E-005</v>
      </c>
      <c r="S76" s="35" t="n">
        <f aca="false">IF(OR(G76="",G75="",G75=0),"",G76/G75-1)</f>
        <v>0.00898418746814422</v>
      </c>
      <c r="T76" s="35" t="n">
        <f aca="false">IF(OR(H76="",H75="",H75=0),"",H76/H75-1)</f>
        <v>0.00569834789084345</v>
      </c>
      <c r="U76" s="35" t="n">
        <f aca="false">IF(OR(I76="",I75="",I75=0),"",I76/I75-1)</f>
        <v>0.0158442390985893</v>
      </c>
      <c r="V76" s="35" t="n">
        <f aca="false">IF(OR(J76="",J75="",J75=0),"",J76/J75-1)</f>
        <v>0.00267944473135318</v>
      </c>
    </row>
    <row r="77" customFormat="false" ht="15" hidden="false" customHeight="false" outlineLevel="0" collapsed="false">
      <c r="A77" s="33" t="n">
        <v>45986</v>
      </c>
      <c r="B77" s="34" t="n">
        <v>675.02001953125</v>
      </c>
      <c r="C77" s="34" t="n">
        <v>276.970001220703</v>
      </c>
      <c r="D77" s="34" t="n">
        <v>476.989990234375</v>
      </c>
      <c r="E77" s="34" t="n">
        <v>206.669998168945</v>
      </c>
      <c r="F77" s="34" t="n">
        <v>303</v>
      </c>
      <c r="G77" s="34" t="n">
        <v>84.8300018310547</v>
      </c>
      <c r="H77" s="34" t="n">
        <v>90.2399978637695</v>
      </c>
      <c r="I77" s="34" t="n">
        <v>380.079986572266</v>
      </c>
      <c r="J77" s="34" t="n">
        <v>90.6399993896484</v>
      </c>
      <c r="L77" s="35" t="n">
        <f aca="false">IF(COUNT(N77:V77)&lt;9,"",SUMPRODUCT($B$12:$J$12,N77:V77))</f>
        <v>0.00627880206570391</v>
      </c>
      <c r="N77" s="35" t="n">
        <f aca="false">IF(OR(B77="",B76="",B76=0),"",B77/B76-1)</f>
        <v>0.00940594746192014</v>
      </c>
      <c r="O77" s="35" t="n">
        <f aca="false">IF(OR(C77="",C76="",C76=0),"",C77/C76-1)</f>
        <v>0.00380540642893257</v>
      </c>
      <c r="P77" s="35" t="n">
        <f aca="false">IF(OR(D77="",D76="",D76=0),"",D77/D76-1)</f>
        <v>0.00630799627505274</v>
      </c>
      <c r="Q77" s="35" t="n">
        <f aca="false">IF(OR(E77="",E76="",E76=0),"",E77/E76-1)</f>
        <v>0.0030089546615113</v>
      </c>
      <c r="R77" s="35" t="n">
        <f aca="false">IF(OR(F77="",F76="",F76=0),"",F77/F76-1)</f>
        <v>0.0167785234899329</v>
      </c>
      <c r="S77" s="35" t="n">
        <f aca="false">IF(OR(G77="",G76="",G76=0),"",G77/G76-1)</f>
        <v>0.00712333432516377</v>
      </c>
      <c r="T77" s="35" t="n">
        <f aca="false">IF(OR(H77="",H76="",H76=0),"",H77/H76-1)</f>
        <v>0.00255522410932629</v>
      </c>
      <c r="U77" s="35" t="n">
        <f aca="false">IF(OR(I77="",I76="",I76=0),"",I77/I76-1)</f>
        <v>-0.000315690770413823</v>
      </c>
      <c r="V77" s="35" t="n">
        <f aca="false">IF(OR(J77="",J76="",J76=0),"",J77/J76-1)</f>
        <v>0.00924175318580844</v>
      </c>
    </row>
    <row r="78" customFormat="false" ht="15" hidden="false" customHeight="false" outlineLevel="0" collapsed="false">
      <c r="A78" s="33" t="n">
        <v>45987</v>
      </c>
      <c r="B78" s="34" t="n">
        <v>679.679992675781</v>
      </c>
      <c r="C78" s="34" t="n">
        <v>277.549987792969</v>
      </c>
      <c r="D78" s="34" t="n">
        <v>485.5</v>
      </c>
      <c r="E78" s="34" t="n">
        <v>207.559997558594</v>
      </c>
      <c r="F78" s="34" t="n">
        <v>307.640014648438</v>
      </c>
      <c r="G78" s="34" t="n">
        <v>85.5400009155273</v>
      </c>
      <c r="H78" s="34" t="n">
        <v>90.6399993896484</v>
      </c>
      <c r="I78" s="34" t="n">
        <v>383.119995117188</v>
      </c>
      <c r="J78" s="34" t="n">
        <v>91.0400009155273</v>
      </c>
      <c r="L78" s="35" t="n">
        <f aca="false">IF(COUNT(N78:V78)&lt;9,"",SUMPRODUCT($B$12:$J$12,N78:V78))</f>
        <v>0.00771133773736043</v>
      </c>
      <c r="N78" s="35" t="n">
        <f aca="false">IF(OR(B78="",B77="",B77=0),"",B78/B77-1)</f>
        <v>0.00690345917113255</v>
      </c>
      <c r="O78" s="35" t="n">
        <f aca="false">IF(OR(C78="",C77="",C77=0),"",C78/C77-1)</f>
        <v>0.00209404112253941</v>
      </c>
      <c r="P78" s="35" t="n">
        <f aca="false">IF(OR(D78="",D77="",D77=0),"",D78/D77-1)</f>
        <v>0.0178410657243426</v>
      </c>
      <c r="Q78" s="35" t="n">
        <f aca="false">IF(OR(E78="",E77="",E77=0),"",E78/E77-1)</f>
        <v>0.00430637924001664</v>
      </c>
      <c r="R78" s="35" t="n">
        <f aca="false">IF(OR(F78="",F77="",F77=0),"",F78/F77-1)</f>
        <v>0.0153135796978152</v>
      </c>
      <c r="S78" s="35" t="n">
        <f aca="false">IF(OR(G78="",G77="",G77=0),"",G78/G77-1)</f>
        <v>0.00836966956439089</v>
      </c>
      <c r="T78" s="35" t="n">
        <f aca="false">IF(OR(H78="",H77="",H77=0),"",H78/H77-1)</f>
        <v>0.00443264112752706</v>
      </c>
      <c r="U78" s="35" t="n">
        <f aca="false">IF(OR(I78="",I77="",I77=0),"",I78/I77-1)</f>
        <v>0.00799833890844437</v>
      </c>
      <c r="V78" s="35" t="n">
        <f aca="false">IF(OR(J78="",J77="",J77=0),"",J78/J77-1)</f>
        <v>0.00441307952970482</v>
      </c>
    </row>
    <row r="79" customFormat="false" ht="15" hidden="false" customHeight="false" outlineLevel="0" collapsed="false">
      <c r="A79" s="33" t="n">
        <v>45989</v>
      </c>
      <c r="B79" s="34" t="n">
        <v>683.390014648438</v>
      </c>
      <c r="C79" s="34" t="n">
        <v>278.850006103516</v>
      </c>
      <c r="D79" s="34" t="n">
        <v>492.010009765625</v>
      </c>
      <c r="E79" s="34" t="n">
        <v>206.919998168945</v>
      </c>
      <c r="F79" s="34" t="n">
        <v>313.079986572266</v>
      </c>
      <c r="G79" s="34" t="n">
        <v>86.2900009155273</v>
      </c>
      <c r="H79" s="34" t="n">
        <v>90.2099990844727</v>
      </c>
      <c r="I79" s="34" t="n">
        <v>387.880004882813</v>
      </c>
      <c r="J79" s="34" t="n">
        <v>91.3399963378906</v>
      </c>
      <c r="L79" s="35" t="n">
        <f aca="false">IF(COUNT(N79:V79)&lt;9,"",SUMPRODUCT($B$12:$J$12,N79:V79))</f>
        <v>0.0061750995670231</v>
      </c>
      <c r="N79" s="35" t="n">
        <f aca="false">IF(OR(B79="",B78="",B78=0),"",B79/B78-1)</f>
        <v>0.00545848342254596</v>
      </c>
      <c r="O79" s="35" t="n">
        <f aca="false">IF(OR(C79="",C78="",C78=0),"",C79/C78-1)</f>
        <v>0.00468390692748555</v>
      </c>
      <c r="P79" s="35" t="n">
        <f aca="false">IF(OR(D79="",D78="",D78=0),"",D79/D78-1)</f>
        <v>0.0134088769631824</v>
      </c>
      <c r="Q79" s="35" t="n">
        <f aca="false">IF(OR(E79="",E78="",E78=0),"",E79/E78-1)</f>
        <v>-0.0030834428462948</v>
      </c>
      <c r="R79" s="35" t="n">
        <f aca="false">IF(OR(F79="",F78="",F78=0),"",F79/F78-1)</f>
        <v>0.017682914005984</v>
      </c>
      <c r="S79" s="35" t="n">
        <f aca="false">IF(OR(G79="",G78="",G78=0),"",G79/G78-1)</f>
        <v>0.00876782782292285</v>
      </c>
      <c r="T79" s="35" t="n">
        <f aca="false">IF(OR(H79="",H78="",H78=0),"",H79/H78-1)</f>
        <v>-0.0047440457642457</v>
      </c>
      <c r="U79" s="35" t="n">
        <f aca="false">IF(OR(I79="",I78="",I78=0),"",I79/I78-1)</f>
        <v>0.0124243313486392</v>
      </c>
      <c r="V79" s="35" t="n">
        <f aca="false">IF(OR(J79="",J78="",J78=0),"",J79/J78-1)</f>
        <v>0.00329520451830456</v>
      </c>
    </row>
    <row r="80" customFormat="false" ht="15" hidden="false" customHeight="false" outlineLevel="0" collapsed="false">
      <c r="A80" s="33" t="n">
        <v>45992</v>
      </c>
      <c r="B80" s="34" t="n">
        <v>680.27001953125</v>
      </c>
      <c r="C80" s="34" t="n">
        <v>283.100006103516</v>
      </c>
      <c r="D80" s="34" t="n">
        <v>486.739990234375</v>
      </c>
      <c r="E80" s="34" t="n">
        <v>205.339996337891</v>
      </c>
      <c r="F80" s="34" t="n">
        <v>308.920013427734</v>
      </c>
      <c r="G80" s="34" t="n">
        <v>84.6500015258789</v>
      </c>
      <c r="H80" s="34" t="n">
        <v>88.7699966430664</v>
      </c>
      <c r="I80" s="34" t="n">
        <v>389.75</v>
      </c>
      <c r="J80" s="34" t="n">
        <v>90.2900009155273</v>
      </c>
      <c r="L80" s="35" t="n">
        <f aca="false">IF(COUNT(N80:V80)&lt;9,"",SUMPRODUCT($B$12:$J$12,N80:V80))</f>
        <v>-0.00452379580397077</v>
      </c>
      <c r="N80" s="35" t="n">
        <f aca="false">IF(OR(B80="",B79="",B79=0),"",B80/B79-1)</f>
        <v>-0.00456546781531919</v>
      </c>
      <c r="O80" s="35" t="n">
        <f aca="false">IF(OR(C80="",C79="",C79=0),"",C80/C79-1)</f>
        <v>0.0152411687537217</v>
      </c>
      <c r="P80" s="35" t="n">
        <f aca="false">IF(OR(D80="",D79="",D79=0),"",D80/D79-1)</f>
        <v>-0.0107112038914827</v>
      </c>
      <c r="Q80" s="35" t="n">
        <f aca="false">IF(OR(E80="",E79="",E79=0),"",E80/E79-1)</f>
        <v>-0.00763581019251691</v>
      </c>
      <c r="R80" s="35" t="n">
        <f aca="false">IF(OR(F80="",F79="",F79=0),"",F80/F79-1)</f>
        <v>-0.0132872534909599</v>
      </c>
      <c r="S80" s="35" t="n">
        <f aca="false">IF(OR(G80="",G79="",G79=0),"",G80/G79-1)</f>
        <v>-0.019005671250993</v>
      </c>
      <c r="T80" s="35" t="n">
        <f aca="false">IF(OR(H80="",H79="",H79=0),"",H80/H79-1)</f>
        <v>-0.0159627808005837</v>
      </c>
      <c r="U80" s="35" t="n">
        <f aca="false">IF(OR(I80="",I79="",I79=0),"",I80/I79-1)</f>
        <v>0.00482106603497634</v>
      </c>
      <c r="V80" s="35" t="n">
        <f aca="false">IF(OR(J80="",J79="",J79=0),"",J80/J79-1)</f>
        <v>-0.0114954616209868</v>
      </c>
    </row>
    <row r="81" customFormat="false" ht="15" hidden="false" customHeight="false" outlineLevel="0" collapsed="false">
      <c r="A81" s="33" t="n">
        <v>45993</v>
      </c>
      <c r="B81" s="34" t="n">
        <v>681.530029296875</v>
      </c>
      <c r="C81" s="34" t="n">
        <v>286.190002441406</v>
      </c>
      <c r="D81" s="34" t="n">
        <v>490</v>
      </c>
      <c r="E81" s="34" t="n">
        <v>205.419998168945</v>
      </c>
      <c r="F81" s="34" t="n">
        <v>307.880004882813</v>
      </c>
      <c r="G81" s="34" t="n">
        <v>84.5800018310547</v>
      </c>
      <c r="H81" s="34" t="n">
        <v>88.8099975585938</v>
      </c>
      <c r="I81" s="34" t="n">
        <v>387.239990234375</v>
      </c>
      <c r="J81" s="34" t="n">
        <v>89.9700012207031</v>
      </c>
      <c r="L81" s="35" t="n">
        <f aca="false">IF(COUNT(N81:V81)&lt;9,"",SUMPRODUCT($B$12:$J$12,N81:V81))</f>
        <v>0.00183304719571442</v>
      </c>
      <c r="N81" s="35" t="n">
        <f aca="false">IF(OR(B81="",B80="",B80=0),"",B81/B80-1)</f>
        <v>0.00185222004417196</v>
      </c>
      <c r="O81" s="35" t="n">
        <f aca="false">IF(OR(C81="",C80="",C80=0),"",C81/C80-1)</f>
        <v>0.0109148578992264</v>
      </c>
      <c r="P81" s="35" t="n">
        <f aca="false">IF(OR(D81="",D80="",D80=0),"",D81/D80-1)</f>
        <v>0.00669764110414528</v>
      </c>
      <c r="Q81" s="35" t="n">
        <f aca="false">IF(OR(E81="",E80="",E80=0),"",E81/E80-1)</f>
        <v>0.00038960666446286</v>
      </c>
      <c r="R81" s="35" t="n">
        <f aca="false">IF(OR(F81="",F80="",F80=0),"",F81/F80-1)</f>
        <v>-0.00336659491038205</v>
      </c>
      <c r="S81" s="35" t="n">
        <f aca="false">IF(OR(G81="",G80="",G80=0),"",G81/G80-1)</f>
        <v>-0.000826930815858384</v>
      </c>
      <c r="T81" s="35" t="n">
        <f aca="false">IF(OR(H81="",H80="",H80=0),"",H81/H80-1)</f>
        <v>0.000450613011603984</v>
      </c>
      <c r="U81" s="35" t="n">
        <f aca="false">IF(OR(I81="",I80="",I80=0),"",I81/I80-1)</f>
        <v>-0.00644005071359843</v>
      </c>
      <c r="V81" s="35" t="n">
        <f aca="false">IF(OR(J81="",J80="",J80=0),"",J81/J80-1)</f>
        <v>-0.0035441321472971</v>
      </c>
    </row>
    <row r="82" customFormat="false" ht="15" hidden="false" customHeight="false" outlineLevel="0" collapsed="false">
      <c r="A82" s="33" t="n">
        <v>45994</v>
      </c>
      <c r="B82" s="34" t="n">
        <v>683.890014648438</v>
      </c>
      <c r="C82" s="34" t="n">
        <v>284.149993896484</v>
      </c>
      <c r="D82" s="34" t="n">
        <v>477.730010986328</v>
      </c>
      <c r="E82" s="34" t="n">
        <v>205.330001831055</v>
      </c>
      <c r="F82" s="34" t="n">
        <v>312.130004882813</v>
      </c>
      <c r="G82" s="34" t="n">
        <v>84.9499969482422</v>
      </c>
      <c r="H82" s="34" t="n">
        <v>89.0599975585938</v>
      </c>
      <c r="I82" s="34" t="n">
        <v>386.880004882813</v>
      </c>
      <c r="J82" s="34" t="n">
        <v>90.1999969482422</v>
      </c>
      <c r="L82" s="35" t="n">
        <f aca="false">IF(COUNT(N82:V82)&lt;9,"",SUMPRODUCT($B$12:$J$12,N82:V82))</f>
        <v>-0.00188672003110117</v>
      </c>
      <c r="N82" s="35" t="n">
        <f aca="false">IF(OR(B82="",B81="",B81=0),"",B82/B81-1)</f>
        <v>0.00346277529986128</v>
      </c>
      <c r="O82" s="35" t="n">
        <f aca="false">IF(OR(C82="",C81="",C81=0),"",C82/C81-1)</f>
        <v>-0.00712816145749085</v>
      </c>
      <c r="P82" s="35" t="n">
        <f aca="false">IF(OR(D82="",D81="",D81=0),"",D82/D81-1)</f>
        <v>-0.025040793905453</v>
      </c>
      <c r="Q82" s="35" t="n">
        <f aca="false">IF(OR(E82="",E81="",E81=0),"",E82/E81-1)</f>
        <v>-0.000438108941155702</v>
      </c>
      <c r="R82" s="35" t="n">
        <f aca="false">IF(OR(F82="",F81="",F81=0),"",F82/F81-1)</f>
        <v>0.0138040792925727</v>
      </c>
      <c r="S82" s="35" t="n">
        <f aca="false">IF(OR(G82="",G81="",G81=0),"",G82/G81-1)</f>
        <v>0.00437449880796348</v>
      </c>
      <c r="T82" s="35" t="n">
        <f aca="false">IF(OR(H82="",H81="",H81=0),"",H82/H81-1)</f>
        <v>0.00281499838838584</v>
      </c>
      <c r="U82" s="35" t="n">
        <f aca="false">IF(OR(I82="",I81="",I81=0),"",I82/I81-1)</f>
        <v>-0.000929618222911599</v>
      </c>
      <c r="V82" s="35" t="n">
        <f aca="false">IF(OR(J82="",J81="",J81=0),"",J82/J81-1)</f>
        <v>0.0025563601691514</v>
      </c>
    </row>
    <row r="83" customFormat="false" ht="15" hidden="false" customHeight="false" outlineLevel="0" collapsed="false">
      <c r="A83" s="33" t="n">
        <v>45995</v>
      </c>
      <c r="B83" s="34" t="n">
        <v>684.390014648438</v>
      </c>
      <c r="C83" s="34" t="n">
        <v>280.700012207031</v>
      </c>
      <c r="D83" s="34" t="n">
        <v>480.839996337891</v>
      </c>
      <c r="E83" s="34" t="n">
        <v>202.479995727539</v>
      </c>
      <c r="F83" s="34" t="n">
        <v>316.100006103516</v>
      </c>
      <c r="G83" s="34" t="n">
        <v>83.3899993896484</v>
      </c>
      <c r="H83" s="34" t="n">
        <v>88.5800018310547</v>
      </c>
      <c r="I83" s="34" t="n">
        <v>387.130004882813</v>
      </c>
      <c r="J83" s="34" t="n">
        <v>89.9800033569336</v>
      </c>
      <c r="L83" s="35" t="n">
        <f aca="false">IF(COUNT(N83:V83)&lt;9,"",SUMPRODUCT($B$12:$J$12,N83:V83))</f>
        <v>-0.00278625706713428</v>
      </c>
      <c r="N83" s="35" t="n">
        <f aca="false">IF(OR(B83="",B82="",B82=0),"",B83/B82-1)</f>
        <v>0.000731111712834354</v>
      </c>
      <c r="O83" s="35" t="n">
        <f aca="false">IF(OR(C83="",C82="",C82=0),"",C83/C82-1)</f>
        <v>-0.012141410394363</v>
      </c>
      <c r="P83" s="35" t="n">
        <f aca="false">IF(OR(D83="",D82="",D82=0),"",D83/D82-1)</f>
        <v>0.00650992250861959</v>
      </c>
      <c r="Q83" s="35" t="n">
        <f aca="false">IF(OR(E83="",E82="",E82=0),"",E83/E82-1)</f>
        <v>-0.0138801250577155</v>
      </c>
      <c r="R83" s="35" t="n">
        <f aca="false">IF(OR(F83="",F82="",F82=0),"",F83/F82-1)</f>
        <v>0.0127190630781988</v>
      </c>
      <c r="S83" s="35" t="n">
        <f aca="false">IF(OR(G83="",G82="",G82=0),"",G83/G82-1)</f>
        <v>-0.0183637152988277</v>
      </c>
      <c r="T83" s="35" t="n">
        <f aca="false">IF(OR(H83="",H82="",H82=0),"",H83/H82-1)</f>
        <v>-0.00538957714683641</v>
      </c>
      <c r="U83" s="35" t="n">
        <f aca="false">IF(OR(I83="",I82="",I82=0),"",I83/I82-1)</f>
        <v>0.000646195194491162</v>
      </c>
      <c r="V83" s="35" t="n">
        <f aca="false">IF(OR(J83="",J82="",J82=0),"",J83/J82-1)</f>
        <v>-0.00243895342296785</v>
      </c>
    </row>
    <row r="84" customFormat="false" ht="15" hidden="false" customHeight="false" outlineLevel="0" collapsed="false">
      <c r="A84" s="33" t="n">
        <v>45996</v>
      </c>
      <c r="B84" s="34" t="n">
        <v>685.690002441406</v>
      </c>
      <c r="C84" s="34" t="n">
        <v>278.779998779297</v>
      </c>
      <c r="D84" s="34" t="n">
        <v>483.160003662109</v>
      </c>
      <c r="E84" s="34" t="n">
        <v>201.929992675781</v>
      </c>
      <c r="F84" s="34" t="n">
        <v>315.040008544922</v>
      </c>
      <c r="G84" s="34" t="n">
        <v>83.129997253418</v>
      </c>
      <c r="H84" s="34" t="n">
        <v>88.1699981689453</v>
      </c>
      <c r="I84" s="34" t="n">
        <v>386.440002441406</v>
      </c>
      <c r="J84" s="34" t="n">
        <v>89.879997253418</v>
      </c>
      <c r="L84" s="35" t="n">
        <f aca="false">IF(COUNT(N84:V84)&lt;9,"",SUMPRODUCT($B$12:$J$12,N84:V84))</f>
        <v>-0.00161208282991104</v>
      </c>
      <c r="N84" s="35" t="n">
        <f aca="false">IF(OR(B84="",B83="",B83=0),"",B84/B83-1)</f>
        <v>0.00189948386905647</v>
      </c>
      <c r="O84" s="35" t="n">
        <f aca="false">IF(OR(C84="",C83="",C83=0),"",C84/C83-1)</f>
        <v>-0.00684009028940802</v>
      </c>
      <c r="P84" s="35" t="n">
        <f aca="false">IF(OR(D84="",D83="",D83=0),"",D84/D83-1)</f>
        <v>0.0048249050451028</v>
      </c>
      <c r="Q84" s="35" t="n">
        <f aca="false">IF(OR(E84="",E83="",E83=0),"",E84/E83-1)</f>
        <v>-0.00271633279021843</v>
      </c>
      <c r="R84" s="35" t="n">
        <f aca="false">IF(OR(F84="",F83="",F83=0),"",F84/F83-1)</f>
        <v>-0.00335336139869258</v>
      </c>
      <c r="S84" s="35" t="n">
        <f aca="false">IF(OR(G84="",G83="",G83=0),"",G84/G83-1)</f>
        <v>-0.0031179054818733</v>
      </c>
      <c r="T84" s="35" t="n">
        <f aca="false">IF(OR(H84="",H83="",H83=0),"",H84/H83-1)</f>
        <v>-0.00462862557726507</v>
      </c>
      <c r="U84" s="35" t="n">
        <f aca="false">IF(OR(I84="",I83="",I83=0),"",I84/I83-1)</f>
        <v>-0.00178235329916077</v>
      </c>
      <c r="V84" s="35" t="n">
        <f aca="false">IF(OR(J84="",J83="",J83=0),"",J84/J83-1)</f>
        <v>-0.00111142587002233</v>
      </c>
    </row>
    <row r="85" customFormat="false" ht="15" hidden="false" customHeight="false" outlineLevel="0" collapsed="false">
      <c r="A85" s="33" t="n">
        <v>45999</v>
      </c>
      <c r="B85" s="34" t="n">
        <v>683.630004882813</v>
      </c>
      <c r="C85" s="34" t="n">
        <v>277.890014648438</v>
      </c>
      <c r="D85" s="34" t="n">
        <v>491.019989013672</v>
      </c>
      <c r="E85" s="34" t="n">
        <v>201.619995117188</v>
      </c>
      <c r="F85" s="34" t="n">
        <v>315.209991455078</v>
      </c>
      <c r="G85" s="34" t="n">
        <v>80.5500030517578</v>
      </c>
      <c r="H85" s="34" t="n">
        <v>87.879997253418</v>
      </c>
      <c r="I85" s="34" t="n">
        <v>385.420013427734</v>
      </c>
      <c r="J85" s="34" t="n">
        <v>89.1900024414063</v>
      </c>
      <c r="L85" s="35" t="n">
        <f aca="false">IF(COUNT(N85:V85)&lt;9,"",SUMPRODUCT($B$12:$J$12,N85:V85))</f>
        <v>-0.00164877562329186</v>
      </c>
      <c r="N85" s="35" t="n">
        <f aca="false">IF(OR(B85="",B84="",B84=0),"",B85/B84-1)</f>
        <v>-0.00300426949679655</v>
      </c>
      <c r="O85" s="35" t="n">
        <f aca="false">IF(OR(C85="",C84="",C84=0),"",C85/C84-1)</f>
        <v>-0.00319242461710301</v>
      </c>
      <c r="P85" s="35" t="n">
        <f aca="false">IF(OR(D85="",D84="",D84=0),"",D85/D84-1)</f>
        <v>0.0162678725308143</v>
      </c>
      <c r="Q85" s="35" t="n">
        <f aca="false">IF(OR(E85="",E84="",E84=0),"",E85/E84-1)</f>
        <v>-0.00153517342562737</v>
      </c>
      <c r="R85" s="35" t="n">
        <f aca="false">IF(OR(F85="",F84="",F84=0),"",F85/F84-1)</f>
        <v>0.000539559756048469</v>
      </c>
      <c r="S85" s="35" t="n">
        <f aca="false">IF(OR(G85="",G84="",G84=0),"",G85/G84-1)</f>
        <v>-0.0310356584494428</v>
      </c>
      <c r="T85" s="35" t="n">
        <f aca="false">IF(OR(H85="",H84="",H84=0),"",H85/H84-1)</f>
        <v>-0.0032891110530775</v>
      </c>
      <c r="U85" s="35" t="n">
        <f aca="false">IF(OR(I85="",I84="",I84=0),"",I85/I84-1)</f>
        <v>-0.00263944986861631</v>
      </c>
      <c r="V85" s="35" t="n">
        <f aca="false">IF(OR(J85="",J84="",J84=0),"",J85/J84-1)</f>
        <v>-0.00767684505003086</v>
      </c>
    </row>
    <row r="86" customFormat="false" ht="15" hidden="false" customHeight="false" outlineLevel="0" collapsed="false">
      <c r="A86" s="33" t="n">
        <v>46000</v>
      </c>
      <c r="B86" s="34" t="n">
        <v>683.039978027344</v>
      </c>
      <c r="C86" s="34" t="n">
        <v>277.179992675781</v>
      </c>
      <c r="D86" s="34" t="n">
        <v>492.019989013672</v>
      </c>
      <c r="E86" s="34" t="n">
        <v>199.960006713867</v>
      </c>
      <c r="F86" s="34" t="n">
        <v>300.510009765625</v>
      </c>
      <c r="G86" s="34" t="n">
        <v>79.6399993896484</v>
      </c>
      <c r="H86" s="34" t="n">
        <v>87.9700012207031</v>
      </c>
      <c r="I86" s="34" t="n">
        <v>387.399993896484</v>
      </c>
      <c r="J86" s="34" t="n">
        <v>88.8499984741211</v>
      </c>
      <c r="L86" s="35" t="n">
        <f aca="false">IF(COUNT(N86:V86)&lt;9,"",SUMPRODUCT($B$12:$J$12,N86:V86))</f>
        <v>-0.00552435546274005</v>
      </c>
      <c r="N86" s="35" t="n">
        <f aca="false">IF(OR(B86="",B85="",B85=0),"",B86/B85-1)</f>
        <v>-0.000863079225977059</v>
      </c>
      <c r="O86" s="35" t="n">
        <f aca="false">IF(OR(C86="",C85="",C85=0),"",C86/C85-1)</f>
        <v>-0.00255504672794826</v>
      </c>
      <c r="P86" s="35" t="n">
        <f aca="false">IF(OR(D86="",D85="",D85=0),"",D86/D85-1)</f>
        <v>0.00203657696707782</v>
      </c>
      <c r="Q86" s="35" t="n">
        <f aca="false">IF(OR(E86="",E85="",E85=0),"",E86/E85-1)</f>
        <v>-0.00823325286937038</v>
      </c>
      <c r="R86" s="35" t="n">
        <f aca="false">IF(OR(F86="",F85="",F85=0),"",F86/F85-1)</f>
        <v>-0.0466355194567111</v>
      </c>
      <c r="S86" s="35" t="n">
        <f aca="false">IF(OR(G86="",G85="",G85=0),"",G86/G85-1)</f>
        <v>-0.0112973758861893</v>
      </c>
      <c r="T86" s="35" t="n">
        <f aca="false">IF(OR(H86="",H85="",H85=0),"",H86/H85-1)</f>
        <v>0.00102416898154378</v>
      </c>
      <c r="U86" s="35" t="n">
        <f aca="false">IF(OR(I86="",I85="",I85=0),"",I86/I85-1)</f>
        <v>0.00513720201278867</v>
      </c>
      <c r="V86" s="35" t="n">
        <f aca="false">IF(OR(J86="",J85="",J85=0),"",J86/J85-1)</f>
        <v>-0.00381213093371735</v>
      </c>
    </row>
    <row r="87" customFormat="false" ht="15" hidden="false" customHeight="false" outlineLevel="0" collapsed="false">
      <c r="A87" s="33" t="n">
        <v>46001</v>
      </c>
      <c r="B87" s="34" t="n">
        <v>687.570007324219</v>
      </c>
      <c r="C87" s="34" t="n">
        <v>278.779998779297</v>
      </c>
      <c r="D87" s="34" t="n">
        <v>478.559997558594</v>
      </c>
      <c r="E87" s="34" t="n">
        <v>206.539993286133</v>
      </c>
      <c r="F87" s="34" t="n">
        <v>310.109985351563</v>
      </c>
      <c r="G87" s="34" t="n">
        <v>81.2699966430664</v>
      </c>
      <c r="H87" s="34" t="n">
        <v>88.3099975585938</v>
      </c>
      <c r="I87" s="34" t="n">
        <v>389.049987792969</v>
      </c>
      <c r="J87" s="34" t="n">
        <v>89.1699981689453</v>
      </c>
      <c r="L87" s="35" t="n">
        <f aca="false">IF(COUNT(N87:V87)&lt;9,"",SUMPRODUCT($B$12:$J$12,N87:V87))</f>
        <v>0.00707741774049029</v>
      </c>
      <c r="N87" s="35" t="n">
        <f aca="false">IF(OR(B87="",B86="",B86=0),"",B87/B86-1)</f>
        <v>0.00663215835470998</v>
      </c>
      <c r="O87" s="35" t="n">
        <f aca="false">IF(OR(C87="",C86="",C86=0),"",C87/C86-1)</f>
        <v>0.00577244442526381</v>
      </c>
      <c r="P87" s="35" t="n">
        <f aca="false">IF(OR(D87="",D86="",D86=0),"",D87/D86-1)</f>
        <v>-0.0273565947636815</v>
      </c>
      <c r="Q87" s="35" t="n">
        <f aca="false">IF(OR(E87="",E86="",E86=0),"",E87/E86-1)</f>
        <v>0.0329065130592923</v>
      </c>
      <c r="R87" s="35" t="n">
        <f aca="false">IF(OR(F87="",F86="",F86=0),"",F87/F86-1)</f>
        <v>0.0319456100428244</v>
      </c>
      <c r="S87" s="35" t="n">
        <f aca="false">IF(OR(G87="",G86="",G86=0),"",G87/G86-1)</f>
        <v>0.0204670676282035</v>
      </c>
      <c r="T87" s="35" t="n">
        <f aca="false">IF(OR(H87="",H86="",H86=0),"",H87/H86-1)</f>
        <v>0.00386491227887698</v>
      </c>
      <c r="U87" s="35" t="n">
        <f aca="false">IF(OR(I87="",I86="",I86=0),"",I87/I86-1)</f>
        <v>0.00425914796716764</v>
      </c>
      <c r="V87" s="35" t="n">
        <f aca="false">IF(OR(J87="",J86="",J86=0),"",J87/J86-1)</f>
        <v>0.00360157231648595</v>
      </c>
    </row>
    <row r="88" customFormat="false" ht="15" hidden="false" customHeight="false" outlineLevel="0" collapsed="false">
      <c r="A88" s="33" t="n">
        <v>46002</v>
      </c>
      <c r="B88" s="34" t="n">
        <v>689.169982910156</v>
      </c>
      <c r="C88" s="34" t="n">
        <v>278.029998779297</v>
      </c>
      <c r="D88" s="34" t="n">
        <v>483.470001220703</v>
      </c>
      <c r="E88" s="34" t="n">
        <v>210.009994506836</v>
      </c>
      <c r="F88" s="34" t="n">
        <v>317.380004882813</v>
      </c>
      <c r="G88" s="34" t="n">
        <v>81.2099990844727</v>
      </c>
      <c r="H88" s="34" t="n">
        <v>88.1900024414063</v>
      </c>
      <c r="I88" s="34" t="n">
        <v>393.239990234375</v>
      </c>
      <c r="J88" s="34" t="n">
        <v>89.5599975585938</v>
      </c>
      <c r="L88" s="35" t="n">
        <f aca="false">IF(COUNT(N88:V88)&lt;9,"",SUMPRODUCT($B$12:$J$12,N88:V88))</f>
        <v>0.00641779862940564</v>
      </c>
      <c r="N88" s="35" t="n">
        <f aca="false">IF(OR(B88="",B87="",B87=0),"",B88/B87-1)</f>
        <v>0.00232700026018229</v>
      </c>
      <c r="O88" s="35" t="n">
        <f aca="false">IF(OR(C88="",C87="",C87=0),"",C88/C87-1)</f>
        <v>-0.00269029343311589</v>
      </c>
      <c r="P88" s="35" t="n">
        <f aca="false">IF(OR(D88="",D87="",D87=0),"",D88/D87-1)</f>
        <v>0.0102599542108779</v>
      </c>
      <c r="Q88" s="35" t="n">
        <f aca="false">IF(OR(E88="",E87="",E87=0),"",E88/E87-1)</f>
        <v>0.0168006261910534</v>
      </c>
      <c r="R88" s="35" t="n">
        <f aca="false">IF(OR(F88="",F87="",F87=0),"",F88/F87-1)</f>
        <v>0.023443358403981</v>
      </c>
      <c r="S88" s="35" t="n">
        <f aca="false">IF(OR(G88="",G87="",G87=0),"",G88/G87-1)</f>
        <v>-0.000738249797858526</v>
      </c>
      <c r="T88" s="35" t="n">
        <f aca="false">IF(OR(H88="",H87="",H87=0),"",H88/H87-1)</f>
        <v>-0.00135879425325414</v>
      </c>
      <c r="U88" s="35" t="n">
        <f aca="false">IF(OR(I88="",I87="",I87=0),"",I88/I87-1)</f>
        <v>0.0107698305433073</v>
      </c>
      <c r="V88" s="35" t="n">
        <f aca="false">IF(OR(J88="",J87="",J87=0),"",J88/J87-1)</f>
        <v>0.00437366151908636</v>
      </c>
    </row>
    <row r="89" customFormat="false" ht="15" hidden="false" customHeight="false" outlineLevel="0" collapsed="false">
      <c r="A89" s="33" t="n">
        <v>46003</v>
      </c>
      <c r="B89" s="34" t="n">
        <v>681.760009765625</v>
      </c>
      <c r="C89" s="34" t="n">
        <v>278.279998779297</v>
      </c>
      <c r="D89" s="34" t="n">
        <v>478.529998779297</v>
      </c>
      <c r="E89" s="34" t="n">
        <v>211.580001831055</v>
      </c>
      <c r="F89" s="34" t="n">
        <v>318.519989013672</v>
      </c>
      <c r="G89" s="34" t="n">
        <v>81.6500015258789</v>
      </c>
      <c r="H89" s="34" t="n">
        <v>87.3399963378906</v>
      </c>
      <c r="I89" s="34" t="n">
        <v>395.440002441406</v>
      </c>
      <c r="J89" s="34" t="n">
        <v>89.4499969482422</v>
      </c>
      <c r="L89" s="35" t="n">
        <f aca="false">IF(COUNT(N89:V89)&lt;9,"",SUMPRODUCT($B$12:$J$12,N89:V89))</f>
        <v>-0.00240733271906317</v>
      </c>
      <c r="N89" s="35" t="n">
        <f aca="false">IF(OR(B89="",B88="",B88=0),"",B89/B88-1)</f>
        <v>-0.0107520253758601</v>
      </c>
      <c r="O89" s="35" t="n">
        <f aca="false">IF(OR(C89="",C88="",C88=0),"",C89/C88-1)</f>
        <v>0.000899183545292281</v>
      </c>
      <c r="P89" s="35" t="n">
        <f aca="false">IF(OR(D89="",D88="",D88=0),"",D89/D88-1)</f>
        <v>-0.0102178055079594</v>
      </c>
      <c r="Q89" s="35" t="n">
        <f aca="false">IF(OR(E89="",E88="",E88=0),"",E89/E88-1)</f>
        <v>0.00747586955518864</v>
      </c>
      <c r="R89" s="35" t="n">
        <f aca="false">IF(OR(F89="",F88="",F88=0),"",F89/F88-1)</f>
        <v>0.00359185869721035</v>
      </c>
      <c r="S89" s="35" t="n">
        <f aca="false">IF(OR(G89="",G88="",G88=0),"",G89/G88-1)</f>
        <v>0.00541808208800165</v>
      </c>
      <c r="T89" s="35" t="n">
        <f aca="false">IF(OR(H89="",H88="",H88=0),"",H89/H88-1)</f>
        <v>-0.00963834992612067</v>
      </c>
      <c r="U89" s="35" t="n">
        <f aca="false">IF(OR(I89="",I88="",I88=0),"",I89/I88-1)</f>
        <v>0.00559457903993899</v>
      </c>
      <c r="V89" s="35" t="n">
        <f aca="false">IF(OR(J89="",J88="",J88=0),"",J89/J88-1)</f>
        <v>-0.00122823373548708</v>
      </c>
    </row>
    <row r="90" customFormat="false" ht="15" hidden="false" customHeight="false" outlineLevel="0" collapsed="false">
      <c r="A90" s="33" t="n">
        <v>46006</v>
      </c>
      <c r="B90" s="34" t="n">
        <v>680.72998046875</v>
      </c>
      <c r="C90" s="34" t="n">
        <v>274.109985351563</v>
      </c>
      <c r="D90" s="34" t="n">
        <v>474.820007324219</v>
      </c>
      <c r="E90" s="34" t="n">
        <v>214.169998168945</v>
      </c>
      <c r="F90" s="34" t="n">
        <v>320.019989013672</v>
      </c>
      <c r="G90" s="34" t="n">
        <v>81.6500015258789</v>
      </c>
      <c r="H90" s="34" t="n">
        <v>87.4000015258789</v>
      </c>
      <c r="I90" s="34" t="n">
        <v>395.799987792969</v>
      </c>
      <c r="J90" s="34" t="n">
        <v>89.7300033569336</v>
      </c>
      <c r="L90" s="35" t="n">
        <f aca="false">IF(COUNT(N90:V90)&lt;9,"",SUMPRODUCT($B$12:$J$12,N90:V90))</f>
        <v>-0.00163878905721792</v>
      </c>
      <c r="N90" s="35" t="n">
        <f aca="false">IF(OR(B90="",B89="",B89=0),"",B90/B89-1)</f>
        <v>-0.00151083853866574</v>
      </c>
      <c r="O90" s="35" t="n">
        <f aca="false">IF(OR(C90="",C89="",C89=0),"",C90/C89-1)</f>
        <v>-0.0149849556059586</v>
      </c>
      <c r="P90" s="35" t="n">
        <f aca="false">IF(OR(D90="",D89="",D89=0),"",D90/D89-1)</f>
        <v>-0.00775289211656949</v>
      </c>
      <c r="Q90" s="35" t="n">
        <f aca="false">IF(OR(E90="",E89="",E89=0),"",E90/E89-1)</f>
        <v>0.0122412152163516</v>
      </c>
      <c r="R90" s="35" t="n">
        <f aca="false">IF(OR(F90="",F89="",F89=0),"",F90/F89-1)</f>
        <v>0.00470928058438314</v>
      </c>
      <c r="S90" s="35" t="n">
        <f aca="false">IF(OR(G90="",G89="",G89=0),"",G90/G89-1)</f>
        <v>0</v>
      </c>
      <c r="T90" s="35" t="n">
        <f aca="false">IF(OR(H90="",H89="",H89=0),"",H90/H89-1)</f>
        <v>0.000687029888988944</v>
      </c>
      <c r="U90" s="35" t="n">
        <f aca="false">IF(OR(I90="",I89="",I89=0),"",I90/I89-1)</f>
        <v>0.000910341263757886</v>
      </c>
      <c r="V90" s="35" t="n">
        <f aca="false">IF(OR(J90="",J89="",J89=0),"",J90/J89-1)</f>
        <v>0.0031303121100541</v>
      </c>
    </row>
    <row r="91" customFormat="false" ht="15" hidden="false" customHeight="false" outlineLevel="0" collapsed="false">
      <c r="A91" s="33" t="n">
        <v>46007</v>
      </c>
      <c r="B91" s="34" t="n">
        <v>678.869995117188</v>
      </c>
      <c r="C91" s="34" t="n">
        <v>274.609985351563</v>
      </c>
      <c r="D91" s="34" t="n">
        <v>476.390014648438</v>
      </c>
      <c r="E91" s="34" t="n">
        <v>209.300003051758</v>
      </c>
      <c r="F91" s="34" t="n">
        <v>315.549987792969</v>
      </c>
      <c r="G91" s="34" t="n">
        <v>81.3199996948242</v>
      </c>
      <c r="H91" s="34" t="n">
        <v>87.879997253418</v>
      </c>
      <c r="I91" s="34" t="n">
        <v>395.890014648438</v>
      </c>
      <c r="J91" s="34" t="n">
        <v>89.0699996948242</v>
      </c>
      <c r="L91" s="35" t="n">
        <f aca="false">IF(COUNT(N91:V91)&lt;9,"",SUMPRODUCT($B$12:$J$12,N91:V91))</f>
        <v>-0.00356430317606266</v>
      </c>
      <c r="N91" s="35" t="n">
        <f aca="false">IF(OR(B91="",B90="",B90=0),"",B91/B90-1)</f>
        <v>-0.00273233940758899</v>
      </c>
      <c r="O91" s="35" t="n">
        <f aca="false">IF(OR(C91="",C90="",C90=0),"",C91/C90-1)</f>
        <v>0.00182408531874056</v>
      </c>
      <c r="P91" s="35" t="n">
        <f aca="false">IF(OR(D91="",D90="",D90=0),"",D91/D90-1)</f>
        <v>0.00330653152773941</v>
      </c>
      <c r="Q91" s="35" t="n">
        <f aca="false">IF(OR(E91="",E90="",E90=0),"",E91/E90-1)</f>
        <v>-0.0227389230929785</v>
      </c>
      <c r="R91" s="35" t="n">
        <f aca="false">IF(OR(F91="",F90="",F90=0),"",F91/F90-1)</f>
        <v>-0.0139678813016647</v>
      </c>
      <c r="S91" s="35" t="n">
        <f aca="false">IF(OR(G91="",G90="",G90=0),"",G91/G90-1)</f>
        <v>-0.00404166350137925</v>
      </c>
      <c r="T91" s="35" t="n">
        <f aca="false">IF(OR(H91="",H90="",H90=0),"",H91/H90-1)</f>
        <v>0.00549194186680846</v>
      </c>
      <c r="U91" s="35" t="n">
        <f aca="false">IF(OR(I91="",I90="",I90=0),"",I91/I90-1)</f>
        <v>0.000227455427603829</v>
      </c>
      <c r="V91" s="35" t="n">
        <f aca="false">IF(OR(J91="",J90="",J90=0),"",J91/J90-1)</f>
        <v>-0.00735544006929301</v>
      </c>
    </row>
    <row r="92" customFormat="false" ht="15" hidden="false" customHeight="false" outlineLevel="0" collapsed="false">
      <c r="A92" s="33" t="n">
        <v>46008</v>
      </c>
      <c r="B92" s="34" t="n">
        <v>671.400024414063</v>
      </c>
      <c r="C92" s="34" t="n">
        <v>271.839996337891</v>
      </c>
      <c r="D92" s="34" t="n">
        <v>476.119995117188</v>
      </c>
      <c r="E92" s="34" t="n">
        <v>210.330001831055</v>
      </c>
      <c r="F92" s="34" t="n">
        <v>314.980010986328</v>
      </c>
      <c r="G92" s="34" t="n">
        <v>80.2900009155273</v>
      </c>
      <c r="H92" s="34" t="n">
        <v>87.8000030517578</v>
      </c>
      <c r="I92" s="34" t="n">
        <v>399.290008544922</v>
      </c>
      <c r="J92" s="34" t="n">
        <v>89.4000015258789</v>
      </c>
      <c r="L92" s="35" t="n">
        <f aca="false">IF(COUNT(N92:V92)&lt;9,"",SUMPRODUCT($B$12:$J$12,N92:V92))</f>
        <v>-0.00299544361680868</v>
      </c>
      <c r="N92" s="35" t="n">
        <f aca="false">IF(OR(B92="",B91="",B91=0),"",B92/B91-1)</f>
        <v>-0.0110035364014512</v>
      </c>
      <c r="O92" s="35" t="n">
        <f aca="false">IF(OR(C92="",C91="",C91=0),"",C92/C91-1)</f>
        <v>-0.0100869930498914</v>
      </c>
      <c r="P92" s="35" t="n">
        <f aca="false">IF(OR(D92="",D91="",D91=0),"",D92/D91-1)</f>
        <v>-0.000566803507519476</v>
      </c>
      <c r="Q92" s="35" t="n">
        <f aca="false">IF(OR(E92="",E91="",E91=0),"",E92/E91-1)</f>
        <v>0.00492115988666408</v>
      </c>
      <c r="R92" s="35" t="n">
        <f aca="false">IF(OR(F92="",F91="",F91=0),"",F92/F91-1)</f>
        <v>-0.00180629639895569</v>
      </c>
      <c r="S92" s="35" t="n">
        <f aca="false">IF(OR(G92="",G91="",G91=0),"",G92/G91-1)</f>
        <v>-0.0126659958578733</v>
      </c>
      <c r="T92" s="35" t="n">
        <f aca="false">IF(OR(H92="",H91="",H91=0),"",H92/H91-1)</f>
        <v>-0.000910266319530284</v>
      </c>
      <c r="U92" s="35" t="n">
        <f aca="false">IF(OR(I92="",I91="",I91=0),"",I92/I91-1)</f>
        <v>0.00858822847427287</v>
      </c>
      <c r="V92" s="35" t="n">
        <f aca="false">IF(OR(J92="",J91="",J91=0),"",J92/J91-1)</f>
        <v>0.0037049717321811</v>
      </c>
    </row>
    <row r="93" customFormat="false" ht="15" hidden="false" customHeight="false" outlineLevel="0" collapsed="false">
      <c r="A93" s="33" t="n">
        <v>46009</v>
      </c>
      <c r="B93" s="34" t="n">
        <v>676.469970703125</v>
      </c>
      <c r="C93" s="34" t="n">
        <v>272.190002441406</v>
      </c>
      <c r="D93" s="34" t="n">
        <v>483.980010986328</v>
      </c>
      <c r="E93" s="34" t="n">
        <v>208.309997558594</v>
      </c>
      <c r="F93" s="34" t="n">
        <v>313</v>
      </c>
      <c r="G93" s="34" t="n">
        <v>80.8499984741211</v>
      </c>
      <c r="H93" s="34" t="n">
        <v>88.2200012207031</v>
      </c>
      <c r="I93" s="34" t="n">
        <v>398.570007324219</v>
      </c>
      <c r="J93" s="34" t="n">
        <v>88.9300003051758</v>
      </c>
      <c r="L93" s="35" t="n">
        <f aca="false">IF(COUNT(N93:V93)&lt;9,"",SUMPRODUCT($B$12:$J$12,N93:V93))</f>
        <v>0.00240560205657108</v>
      </c>
      <c r="N93" s="35" t="n">
        <f aca="false">IF(OR(B93="",B92="",B92=0),"",B93/B92-1)</f>
        <v>0.00755130489232059</v>
      </c>
      <c r="O93" s="35" t="n">
        <f aca="false">IF(OR(C93="",C92="",C92=0),"",C93/C92-1)</f>
        <v>0.00128754454175306</v>
      </c>
      <c r="P93" s="35" t="n">
        <f aca="false">IF(OR(D93="",D92="",D92=0),"",D93/D92-1)</f>
        <v>0.0165084767490291</v>
      </c>
      <c r="Q93" s="35" t="n">
        <f aca="false">IF(OR(E93="",E92="",E92=0),"",E93/E92-1)</f>
        <v>-0.00960397591820272</v>
      </c>
      <c r="R93" s="35" t="n">
        <f aca="false">IF(OR(F93="",F92="",F92=0),"",F93/F92-1)</f>
        <v>-0.00628614806421468</v>
      </c>
      <c r="S93" s="35" t="n">
        <f aca="false">IF(OR(G93="",G92="",G92=0),"",G93/G92-1)</f>
        <v>0.00697468616525443</v>
      </c>
      <c r="T93" s="35" t="n">
        <f aca="false">IF(OR(H93="",H92="",H92=0),"",H93/H92-1)</f>
        <v>0.00478357806773322</v>
      </c>
      <c r="U93" s="35" t="n">
        <f aca="false">IF(OR(I93="",I92="",I92=0),"",I93/I92-1)</f>
        <v>-0.00180320369980413</v>
      </c>
      <c r="V93" s="35" t="n">
        <f aca="false">IF(OR(J93="",J92="",J92=0),"",J93/J92-1)</f>
        <v>-0.00525728425817817</v>
      </c>
    </row>
    <row r="94" customFormat="false" ht="15" hidden="false" customHeight="false" outlineLevel="0" collapsed="false">
      <c r="A94" s="33" t="n">
        <v>46010</v>
      </c>
      <c r="B94" s="34" t="n">
        <v>680.590026855469</v>
      </c>
      <c r="C94" s="34" t="n">
        <v>273.670013427734</v>
      </c>
      <c r="D94" s="34" t="n">
        <v>485.920013427734</v>
      </c>
      <c r="E94" s="34" t="n">
        <v>206.369995117188</v>
      </c>
      <c r="F94" s="34" t="n">
        <v>317.209991455078</v>
      </c>
      <c r="G94" s="34" t="n">
        <v>79.5400009155273</v>
      </c>
      <c r="H94" s="34" t="n">
        <v>87.5500030517578</v>
      </c>
      <c r="I94" s="34" t="n">
        <v>399.019989013672</v>
      </c>
      <c r="J94" s="34" t="n">
        <v>88.5899963378906</v>
      </c>
      <c r="L94" s="35" t="n">
        <f aca="false">IF(COUNT(N94:V94)&lt;9,"",SUMPRODUCT($B$12:$J$12,N94:V94))</f>
        <v>0.00118664186558483</v>
      </c>
      <c r="N94" s="35" t="n">
        <f aca="false">IF(OR(B94="",B93="",B93=0),"",B94/B93-1)</f>
        <v>0.00609052335029969</v>
      </c>
      <c r="O94" s="35" t="n">
        <f aca="false">IF(OR(C94="",C93="",C93=0),"",C94/C93-1)</f>
        <v>0.00543741861586766</v>
      </c>
      <c r="P94" s="35" t="n">
        <f aca="false">IF(OR(D94="",D93="",D93=0),"",D94/D93-1)</f>
        <v>0.00400843505386161</v>
      </c>
      <c r="Q94" s="35" t="n">
        <f aca="false">IF(OR(E94="",E93="",E93=0),"",E94/E93-1)</f>
        <v>-0.00931305489003376</v>
      </c>
      <c r="R94" s="35" t="n">
        <f aca="false">IF(OR(F94="",F93="",F93=0),"",F94/F93-1)</f>
        <v>0.0134504519331566</v>
      </c>
      <c r="S94" s="35" t="n">
        <f aca="false">IF(OR(G94="",G93="",G93=0),"",G94/G93-1)</f>
        <v>-0.0162028148833312</v>
      </c>
      <c r="T94" s="35" t="n">
        <f aca="false">IF(OR(H94="",H93="",H93=0),"",H94/H93-1)</f>
        <v>-0.00759462887865015</v>
      </c>
      <c r="U94" s="35" t="n">
        <f aca="false">IF(OR(I94="",I93="",I93=0),"",I94/I93-1)</f>
        <v>0.00112899034343794</v>
      </c>
      <c r="V94" s="35" t="n">
        <f aca="false">IF(OR(J94="",J93="",J93=0),"",J94/J93-1)</f>
        <v>-0.00382327635351876</v>
      </c>
    </row>
    <row r="95" customFormat="false" ht="15" hidden="false" customHeight="false" outlineLevel="0" collapsed="false">
      <c r="A95" s="33" t="n">
        <v>46013</v>
      </c>
      <c r="B95" s="34" t="n">
        <v>684.830017089844</v>
      </c>
      <c r="C95" s="34" t="n">
        <v>270.970001220703</v>
      </c>
      <c r="D95" s="34" t="n">
        <v>484.920013427734</v>
      </c>
      <c r="E95" s="34" t="n">
        <v>207.320007324219</v>
      </c>
      <c r="F95" s="34" t="n">
        <v>323.089996337891</v>
      </c>
      <c r="G95" s="34" t="n">
        <v>80.0400009155273</v>
      </c>
      <c r="H95" s="34" t="n">
        <v>87.3600006103516</v>
      </c>
      <c r="I95" s="34" t="n">
        <v>408.230010986328</v>
      </c>
      <c r="J95" s="34" t="n">
        <v>88.2399978637695</v>
      </c>
      <c r="L95" s="35" t="n">
        <f aca="false">IF(COUNT(N95:V95)&lt;9,"",SUMPRODUCT($B$12:$J$12,N95:V95))</f>
        <v>0.00358574211135587</v>
      </c>
      <c r="N95" s="35" t="n">
        <f aca="false">IF(OR(B95="",B94="",B94=0),"",B95/B94-1)</f>
        <v>0.0062298741783875</v>
      </c>
      <c r="O95" s="35" t="n">
        <f aca="false">IF(OR(C95="",C94="",C94=0),"",C95/C94-1)</f>
        <v>-0.00986594100395999</v>
      </c>
      <c r="P95" s="35" t="n">
        <f aca="false">IF(OR(D95="",D94="",D94=0),"",D95/D94-1)</f>
        <v>-0.0020579518693743</v>
      </c>
      <c r="Q95" s="35" t="n">
        <f aca="false">IF(OR(E95="",E94="",E94=0),"",E95/E94-1)</f>
        <v>0.00460344153466452</v>
      </c>
      <c r="R95" s="35" t="n">
        <f aca="false">IF(OR(F95="",F94="",F94=0),"",F95/F94-1)</f>
        <v>0.0185366320141456</v>
      </c>
      <c r="S95" s="35" t="n">
        <f aca="false">IF(OR(G95="",G94="",G94=0),"",G95/G94-1)</f>
        <v>0.00628614526332494</v>
      </c>
      <c r="T95" s="35" t="n">
        <f aca="false">IF(OR(H95="",H94="",H94=0),"",H95/H94-1)</f>
        <v>-0.00217021627393743</v>
      </c>
      <c r="U95" s="35" t="n">
        <f aca="false">IF(OR(I95="",I94="",I94=0),"",I95/I94-1)</f>
        <v>0.0230816054990679</v>
      </c>
      <c r="V95" s="35" t="n">
        <f aca="false">IF(OR(J95="",J94="",J94=0),"",J95/J94-1)</f>
        <v>-0.00395076745218692</v>
      </c>
    </row>
    <row r="96" customFormat="false" ht="15" hidden="false" customHeight="false" outlineLevel="0" collapsed="false">
      <c r="A96" s="33" t="n">
        <v>46014</v>
      </c>
      <c r="B96" s="34" t="n">
        <v>687.960021972656</v>
      </c>
      <c r="C96" s="34" t="n">
        <v>272.359985351563</v>
      </c>
      <c r="D96" s="34" t="n">
        <v>486.850006103516</v>
      </c>
      <c r="E96" s="34" t="n">
        <v>205.779998779297</v>
      </c>
      <c r="F96" s="34" t="n">
        <v>325.929992675781</v>
      </c>
      <c r="G96" s="34" t="n">
        <v>79.7900009155273</v>
      </c>
      <c r="H96" s="34" t="n">
        <v>87.5</v>
      </c>
      <c r="I96" s="34" t="n">
        <v>413.640014648438</v>
      </c>
      <c r="J96" s="34" t="n">
        <v>88.1800003051758</v>
      </c>
      <c r="L96" s="35" t="n">
        <f aca="false">IF(COUNT(N96:V96)&lt;9,"",SUMPRODUCT($B$12:$J$12,N96:V96))</f>
        <v>0.00358577341010624</v>
      </c>
      <c r="N96" s="35" t="n">
        <f aca="false">IF(OR(B96="",B95="",B95=0),"",B96/B95-1)</f>
        <v>0.00457048436064889</v>
      </c>
      <c r="O96" s="35" t="n">
        <f aca="false">IF(OR(C96="",C95="",C95=0),"",C96/C95-1)</f>
        <v>0.00512966056979813</v>
      </c>
      <c r="P96" s="35" t="n">
        <f aca="false">IF(OR(D96="",D95="",D95=0),"",D96/D95-1)</f>
        <v>0.00398002273022224</v>
      </c>
      <c r="Q96" s="35" t="n">
        <f aca="false">IF(OR(E96="",E95="",E95=0),"",E96/E95-1)</f>
        <v>-0.00742817138007168</v>
      </c>
      <c r="R96" s="35" t="n">
        <f aca="false">IF(OR(F96="",F95="",F95=0),"",F96/F95-1)</f>
        <v>0.00879010916487766</v>
      </c>
      <c r="S96" s="35" t="n">
        <f aca="false">IF(OR(G96="",G95="",G95=0),"",G96/G95-1)</f>
        <v>-0.0031234382451325</v>
      </c>
      <c r="T96" s="35" t="n">
        <f aca="false">IF(OR(H96="",H95="",H95=0),"",H96/H95-1)</f>
        <v>0.00160255710474222</v>
      </c>
      <c r="U96" s="35" t="n">
        <f aca="false">IF(OR(I96="",I95="",I95=0),"",I96/I95-1)</f>
        <v>0.0132523418575692</v>
      </c>
      <c r="V96" s="35" t="n">
        <f aca="false">IF(OR(J96="",J95="",J95=0),"",J96/J95-1)</f>
        <v>-0.000679936083932575</v>
      </c>
    </row>
    <row r="97" customFormat="false" ht="15" hidden="false" customHeight="false" outlineLevel="0" collapsed="false">
      <c r="A97" s="33" t="n">
        <v>46015</v>
      </c>
      <c r="B97" s="34" t="n">
        <v>690.380004882813</v>
      </c>
      <c r="C97" s="34" t="n">
        <v>273.809997558594</v>
      </c>
      <c r="D97" s="34" t="n">
        <v>488.019989013672</v>
      </c>
      <c r="E97" s="34" t="n">
        <v>207.779998779297</v>
      </c>
      <c r="F97" s="34" t="n">
        <v>329.170013427734</v>
      </c>
      <c r="G97" s="34" t="n">
        <v>80.4499969482422</v>
      </c>
      <c r="H97" s="34" t="n">
        <v>88.0299987792969</v>
      </c>
      <c r="I97" s="34" t="n">
        <v>411.929992675781</v>
      </c>
      <c r="J97" s="34" t="n">
        <v>88.7600021362305</v>
      </c>
      <c r="L97" s="35" t="n">
        <f aca="false">IF(COUNT(N97:V97)&lt;9,"",SUMPRODUCT($B$12:$J$12,N97:V97))</f>
        <v>0.00480881438328994</v>
      </c>
      <c r="N97" s="35" t="n">
        <f aca="false">IF(OR(B97="",B96="",B96=0),"",B97/B96-1)</f>
        <v>0.0035176214211079</v>
      </c>
      <c r="O97" s="35" t="n">
        <f aca="false">IF(OR(C97="",C96="",C96=0),"",C97/C96-1)</f>
        <v>0.00532388120508709</v>
      </c>
      <c r="P97" s="35" t="n">
        <f aca="false">IF(OR(D97="",D96="",D96=0),"",D97/D96-1)</f>
        <v>0.00240316913934113</v>
      </c>
      <c r="Q97" s="35" t="n">
        <f aca="false">IF(OR(E97="",E96="",E96=0),"",E97/E96-1)</f>
        <v>0.00971911756178523</v>
      </c>
      <c r="R97" s="35" t="n">
        <f aca="false">IF(OR(F97="",F96="",F96=0),"",F97/F96-1)</f>
        <v>0.00994084872445589</v>
      </c>
      <c r="S97" s="35" t="n">
        <f aca="false">IF(OR(G97="",G96="",G96=0),"",G97/G96-1)</f>
        <v>0.00827166343078045</v>
      </c>
      <c r="T97" s="35" t="n">
        <f aca="false">IF(OR(H97="",H96="",H96=0),"",H97/H96-1)</f>
        <v>0.00605712890625032</v>
      </c>
      <c r="U97" s="35" t="n">
        <f aca="false">IF(OR(I97="",I96="",I96=0),"",I97/I96-1)</f>
        <v>-0.00413408256478853</v>
      </c>
      <c r="V97" s="35" t="n">
        <f aca="false">IF(OR(J97="",J96="",J96=0),"",J97/J96-1)</f>
        <v>0.00657747594746438</v>
      </c>
    </row>
    <row r="98" customFormat="false" ht="15" hidden="false" customHeight="false" outlineLevel="0" collapsed="false">
      <c r="A98" s="33" t="n">
        <v>46017</v>
      </c>
      <c r="B98" s="34" t="n">
        <v>690.309997558594</v>
      </c>
      <c r="C98" s="34" t="n">
        <v>273.399993896484</v>
      </c>
      <c r="D98" s="34" t="n">
        <v>487.709991455078</v>
      </c>
      <c r="E98" s="34" t="n">
        <v>207.630004882813</v>
      </c>
      <c r="F98" s="34" t="n">
        <v>327.910003662109</v>
      </c>
      <c r="G98" s="34" t="n">
        <v>80.4100036621094</v>
      </c>
      <c r="H98" s="34" t="n">
        <v>87.7399978637695</v>
      </c>
      <c r="I98" s="34" t="n">
        <v>416.739990234375</v>
      </c>
      <c r="J98" s="34" t="n">
        <v>88.8600006103516</v>
      </c>
      <c r="L98" s="35" t="n">
        <f aca="false">IF(COUNT(N98:V98)&lt;9,"",SUMPRODUCT($B$12:$J$12,N98:V98))</f>
        <v>0.000143519263498478</v>
      </c>
      <c r="N98" s="35" t="n">
        <f aca="false">IF(OR(B98="",B97="",B97=0),"",B98/B97-1)</f>
        <v>-0.000101404043749587</v>
      </c>
      <c r="O98" s="35" t="n">
        <f aca="false">IF(OR(C98="",C97="",C97=0),"",C98/C97-1)</f>
        <v>-0.00149740208818439</v>
      </c>
      <c r="P98" s="35" t="n">
        <f aca="false">IF(OR(D98="",D97="",D97=0),"",D98/D97-1)</f>
        <v>-0.000635214879662005</v>
      </c>
      <c r="Q98" s="35" t="n">
        <f aca="false">IF(OR(E98="",E97="",E97=0),"",E98/E97-1)</f>
        <v>-0.000721888041992469</v>
      </c>
      <c r="R98" s="35" t="n">
        <f aca="false">IF(OR(F98="",F97="",F97=0),"",F98/F97-1)</f>
        <v>-0.00382783884991278</v>
      </c>
      <c r="S98" s="35" t="n">
        <f aca="false">IF(OR(G98="",G97="",G97=0),"",G98/G97-1)</f>
        <v>-0.00049711979676681</v>
      </c>
      <c r="T98" s="35" t="n">
        <f aca="false">IF(OR(H98="",H97="",H97=0),"",H98/H97-1)</f>
        <v>-0.00329434192376255</v>
      </c>
      <c r="U98" s="35" t="n">
        <f aca="false">IF(OR(I98="",I97="",I97=0),"",I98/I97-1)</f>
        <v>0.0116767354747578</v>
      </c>
      <c r="V98" s="35" t="n">
        <f aca="false">IF(OR(J98="",J97="",J97=0),"",J98/J97-1)</f>
        <v>0.00112661640056788</v>
      </c>
    </row>
    <row r="99" customFormat="false" ht="15" hidden="false" customHeight="false" outlineLevel="0" collapsed="false">
      <c r="A99" s="33" t="n">
        <v>46020</v>
      </c>
      <c r="B99" s="34" t="n">
        <v>687.849975585938</v>
      </c>
      <c r="C99" s="34" t="n">
        <v>273.760009765625</v>
      </c>
      <c r="D99" s="34" t="n">
        <v>487.100006103516</v>
      </c>
      <c r="E99" s="34" t="n">
        <v>207.559997558594</v>
      </c>
      <c r="F99" s="34" t="n">
        <v>323.75</v>
      </c>
      <c r="G99" s="34" t="n">
        <v>80.2699966430664</v>
      </c>
      <c r="H99" s="34" t="n">
        <v>88.0699996948242</v>
      </c>
      <c r="I99" s="34" t="n">
        <v>398.600006103516</v>
      </c>
      <c r="J99" s="34" t="n">
        <v>89.0400009155273</v>
      </c>
      <c r="L99" s="35" t="n">
        <f aca="false">IF(COUNT(N99:V99)&lt;9,"",SUMPRODUCT($B$12:$J$12,N99:V99))</f>
        <v>-0.00578899659422869</v>
      </c>
      <c r="N99" s="35" t="n">
        <f aca="false">IF(OR(B99="",B98="",B98=0),"",B99/B98-1)</f>
        <v>-0.00356364818901123</v>
      </c>
      <c r="O99" s="35" t="n">
        <f aca="false">IF(OR(C99="",C98="",C98=0),"",C99/C98-1)</f>
        <v>0.00131681008477758</v>
      </c>
      <c r="P99" s="35" t="n">
        <f aca="false">IF(OR(D99="",D98="",D98=0),"",D99/D98-1)</f>
        <v>-0.0012507132563393</v>
      </c>
      <c r="Q99" s="35" t="n">
        <f aca="false">IF(OR(E99="",E98="",E98=0),"",E99/E98-1)</f>
        <v>-0.000337173445902117</v>
      </c>
      <c r="R99" s="35" t="n">
        <f aca="false">IF(OR(F99="",F98="",F98=0),"",F99/F98-1)</f>
        <v>-0.0126864188821626</v>
      </c>
      <c r="S99" s="35" t="n">
        <f aca="false">IF(OR(G99="",G98="",G98=0),"",G99/G98-1)</f>
        <v>-0.00174116419185011</v>
      </c>
      <c r="T99" s="35" t="n">
        <f aca="false">IF(OR(H99="",H98="",H98=0),"",H99/H98-1)</f>
        <v>0.00376113333815087</v>
      </c>
      <c r="U99" s="35" t="n">
        <f aca="false">IF(OR(I99="",I98="",I98=0),"",I99/I98-1)</f>
        <v>-0.0435283019531124</v>
      </c>
      <c r="V99" s="35" t="n">
        <f aca="false">IF(OR(J99="",J98="",J98=0),"",J99/J98-1)</f>
        <v>0.00202566175938923</v>
      </c>
    </row>
    <row r="100" customFormat="false" ht="15" hidden="false" customHeight="false" outlineLevel="0" collapsed="false">
      <c r="A100" s="33" t="n">
        <v>46021</v>
      </c>
      <c r="B100" s="34" t="n">
        <v>687.010009765625</v>
      </c>
      <c r="C100" s="34" t="n">
        <v>273.079986572266</v>
      </c>
      <c r="D100" s="34" t="n">
        <v>487.480010986328</v>
      </c>
      <c r="E100" s="34" t="n">
        <v>206.910003662109</v>
      </c>
      <c r="F100" s="34" t="n">
        <v>323.420013427734</v>
      </c>
      <c r="G100" s="34" t="n">
        <v>80.5299987792969</v>
      </c>
      <c r="H100" s="34" t="n">
        <v>87.8600006103516</v>
      </c>
      <c r="I100" s="34" t="n">
        <v>398.890014648438</v>
      </c>
      <c r="J100" s="34" t="n">
        <v>89.2200012207031</v>
      </c>
      <c r="L100" s="35" t="n">
        <f aca="false">IF(COUNT(N100:V100)&lt;9,"",SUMPRODUCT($B$12:$J$12,N100:V100))</f>
        <v>-0.00085680467728034</v>
      </c>
      <c r="N100" s="35" t="n">
        <f aca="false">IF(OR(B100="",B99="",B99=0),"",B100/B99-1)</f>
        <v>-0.00122114683452224</v>
      </c>
      <c r="O100" s="35" t="n">
        <f aca="false">IF(OR(C100="",C99="",C99=0),"",C100/C99-1)</f>
        <v>-0.00248401216065552</v>
      </c>
      <c r="P100" s="35" t="n">
        <f aca="false">IF(OR(D100="",D99="",D99=0),"",D100/D99-1)</f>
        <v>0.000780137298399541</v>
      </c>
      <c r="Q100" s="35" t="n">
        <f aca="false">IF(OR(E100="",E99="",E99=0),"",E100/E99-1)</f>
        <v>-0.00313159522128781</v>
      </c>
      <c r="R100" s="35" t="n">
        <f aca="false">IF(OR(F100="",F99="",F99=0),"",F100/F99-1)</f>
        <v>-0.00101926354367887</v>
      </c>
      <c r="S100" s="35" t="n">
        <f aca="false">IF(OR(G100="",G99="",G99=0),"",G100/G99-1)</f>
        <v>0.00323909489353347</v>
      </c>
      <c r="T100" s="35" t="n">
        <f aca="false">IF(OR(H100="",H99="",H99=0),"",H100/H99-1)</f>
        <v>-0.00238445651413965</v>
      </c>
      <c r="U100" s="35" t="n">
        <f aca="false">IF(OR(I100="",I99="",I99=0),"",I100/I99-1)</f>
        <v>0.000727567838638477</v>
      </c>
      <c r="V100" s="35" t="n">
        <f aca="false">IF(OR(J100="",J99="",J99=0),"",J100/J99-1)</f>
        <v>0.00202156674893295</v>
      </c>
    </row>
    <row r="101" customFormat="false" ht="15" hidden="false" customHeight="false" outlineLevel="0" collapsed="false">
      <c r="A101" s="33" t="n">
        <v>46022</v>
      </c>
      <c r="B101" s="34" t="n">
        <v>681.919982910156</v>
      </c>
      <c r="C101" s="34" t="n">
        <v>271.859985351563</v>
      </c>
      <c r="D101" s="34" t="n">
        <v>483.619995117188</v>
      </c>
      <c r="E101" s="34" t="n">
        <v>206.949996948242</v>
      </c>
      <c r="F101" s="34" t="n">
        <v>322.220001220703</v>
      </c>
      <c r="G101" s="34" t="n">
        <v>80.2799987792969</v>
      </c>
      <c r="H101" s="34" t="n">
        <v>87.1600036621094</v>
      </c>
      <c r="I101" s="34" t="n">
        <v>396.309997558594</v>
      </c>
      <c r="J101" s="34" t="n">
        <v>88.4899978637695</v>
      </c>
      <c r="L101" s="35" t="n">
        <f aca="false">IF(COUNT(N101:V101)&lt;9,"",SUMPRODUCT($B$12:$J$12,N101:V101))</f>
        <v>-0.0056967771933862</v>
      </c>
      <c r="N101" s="35" t="n">
        <f aca="false">IF(OR(B101="",B100="",B100=0),"",B101/B100-1)</f>
        <v>-0.00740895588581814</v>
      </c>
      <c r="O101" s="35" t="n">
        <f aca="false">IF(OR(C101="",C100="",C100=0),"",C101/C100-1)</f>
        <v>-0.00446755998495763</v>
      </c>
      <c r="P101" s="35" t="n">
        <f aca="false">IF(OR(D101="",D100="",D100=0),"",D101/D100-1)</f>
        <v>-0.00791830594516063</v>
      </c>
      <c r="Q101" s="35" t="n">
        <f aca="false">IF(OR(E101="",E100="",E100=0),"",E101/E100-1)</f>
        <v>0.000193288315814222</v>
      </c>
      <c r="R101" s="35" t="n">
        <f aca="false">IF(OR(F101="",F100="",F100=0),"",F101/F100-1)</f>
        <v>-0.00371038327007889</v>
      </c>
      <c r="S101" s="35" t="n">
        <f aca="false">IF(OR(G101="",G100="",G100=0),"",G101/G100-1)</f>
        <v>-0.00310443317756848</v>
      </c>
      <c r="T101" s="35" t="n">
        <f aca="false">IF(OR(H101="",H100="",H100=0),"",H101/H100-1)</f>
        <v>-0.00796718578852051</v>
      </c>
      <c r="U101" s="35" t="n">
        <f aca="false">IF(OR(I101="",I100="",I100=0),"",I101/I100-1)</f>
        <v>-0.00646799116322316</v>
      </c>
      <c r="V101" s="35" t="n">
        <f aca="false">IF(OR(J101="",J100="",J100=0),"",J101/J100-1)</f>
        <v>-0.00818205948157058</v>
      </c>
    </row>
    <row r="102" customFormat="false" ht="15" hidden="false" customHeight="false" outlineLevel="0" collapsed="false">
      <c r="A102" s="33" t="n">
        <v>46024</v>
      </c>
      <c r="B102" s="34" t="n">
        <v>683.169982910156</v>
      </c>
      <c r="C102" s="34" t="n">
        <v>271.010009765625</v>
      </c>
      <c r="D102" s="34" t="n">
        <v>472.940002441406</v>
      </c>
      <c r="E102" s="34" t="n">
        <v>207.350006103516</v>
      </c>
      <c r="F102" s="34" t="n">
        <v>325.480010986328</v>
      </c>
      <c r="G102" s="34" t="n">
        <v>80.9300003051758</v>
      </c>
      <c r="H102" s="34" t="n">
        <v>87.0299987792969</v>
      </c>
      <c r="I102" s="34" t="n">
        <v>398.279998779297</v>
      </c>
      <c r="J102" s="34" t="n">
        <v>88.5199966430664</v>
      </c>
      <c r="L102" s="35" t="n">
        <f aca="false">IF(COUNT(N102:V102)&lt;9,"",SUMPRODUCT($B$12:$J$12,N102:V102))</f>
        <v>-0.00110587775281536</v>
      </c>
      <c r="N102" s="35" t="n">
        <f aca="false">IF(OR(B102="",B101="",B101=0),"",B102/B101-1)</f>
        <v>0.00183305964237257</v>
      </c>
      <c r="O102" s="35" t="n">
        <f aca="false">IF(OR(C102="",C101="",C101=0),"",C102/C101-1)</f>
        <v>-0.00312651964885102</v>
      </c>
      <c r="P102" s="35" t="n">
        <f aca="false">IF(OR(D102="",D101="",D101=0),"",D102/D101-1)</f>
        <v>-0.0220834390298401</v>
      </c>
      <c r="Q102" s="35" t="n">
        <f aca="false">IF(OR(E102="",E101="",E101=0),"",E102/E101-1)</f>
        <v>0.0019328782854442</v>
      </c>
      <c r="R102" s="35" t="n">
        <f aca="false">IF(OR(F102="",F101="",F101=0),"",F102/F101-1)</f>
        <v>0.0101173414228624</v>
      </c>
      <c r="S102" s="35" t="n">
        <f aca="false">IF(OR(G102="",G101="",G101=0),"",G102/G101-1)</f>
        <v>0.00809668081418202</v>
      </c>
      <c r="T102" s="35" t="n">
        <f aca="false">IF(OR(H102="",H101="",H101=0),"",H102/H101-1)</f>
        <v>-0.00149156582549592</v>
      </c>
      <c r="U102" s="35" t="n">
        <f aca="false">IF(OR(I102="",I101="",I101=0),"",I102/I101-1)</f>
        <v>0.0049708592587594</v>
      </c>
      <c r="V102" s="35" t="n">
        <f aca="false">IF(OR(J102="",J101="",J101=0),"",J102/J101-1)</f>
        <v>0.000339007571715566</v>
      </c>
    </row>
    <row r="103" customFormat="false" ht="15" hidden="false" customHeight="false" outlineLevel="0" collapsed="false">
      <c r="A103" s="33" t="n">
        <v>46027</v>
      </c>
      <c r="B103" s="34" t="n">
        <v>687.719970703125</v>
      </c>
      <c r="C103" s="34" t="n">
        <v>267.260009765625</v>
      </c>
      <c r="D103" s="34" t="n">
        <v>472.850006103516</v>
      </c>
      <c r="E103" s="34" t="n">
        <v>204.309997558594</v>
      </c>
      <c r="F103" s="34" t="n">
        <v>334.040008544922</v>
      </c>
      <c r="G103" s="34" t="n">
        <v>81.3199996948242</v>
      </c>
      <c r="H103" s="34" t="n">
        <v>87.4599990844727</v>
      </c>
      <c r="I103" s="34" t="n">
        <v>408.760009765625</v>
      </c>
      <c r="J103" s="34" t="n">
        <v>88.7200012207031</v>
      </c>
      <c r="L103" s="35" t="n">
        <f aca="false">IF(COUNT(N103:V103)&lt;9,"",SUMPRODUCT($B$12:$J$12,N103:V103))</f>
        <v>0.00339437446766432</v>
      </c>
      <c r="N103" s="35" t="n">
        <f aca="false">IF(OR(B103="",B102="",B102=0),"",B103/B102-1)</f>
        <v>0.00666011081691131</v>
      </c>
      <c r="O103" s="35" t="n">
        <f aca="false">IF(OR(C103="",C102="",C102=0),"",C103/C102-1)</f>
        <v>-0.0138371272826531</v>
      </c>
      <c r="P103" s="35" t="n">
        <f aca="false">IF(OR(D103="",D102="",D102=0),"",D103/D102-1)</f>
        <v>-0.000190291236574214</v>
      </c>
      <c r="Q103" s="35" t="n">
        <f aca="false">IF(OR(E103="",E102="",E102=0),"",E103/E102-1)</f>
        <v>-0.0146612416466693</v>
      </c>
      <c r="R103" s="35" t="n">
        <f aca="false">IF(OR(F103="",F102="",F102=0),"",F103/F102-1)</f>
        <v>0.0262996106355469</v>
      </c>
      <c r="S103" s="35" t="n">
        <f aca="false">IF(OR(G103="",G102="",G102=0),"",G103/G102-1)</f>
        <v>0.00481897180498914</v>
      </c>
      <c r="T103" s="35" t="n">
        <f aca="false">IF(OR(H103="",H102="",H102=0),"",H103/H102-1)</f>
        <v>0.00494082857873246</v>
      </c>
      <c r="U103" s="35" t="n">
        <f aca="false">IF(OR(I103="",I102="",I102=0),"",I103/I102-1)</f>
        <v>0.0263131741951606</v>
      </c>
      <c r="V103" s="35" t="n">
        <f aca="false">IF(OR(J103="",J102="",J102=0),"",J103/J102-1)</f>
        <v>0.00225942821081615</v>
      </c>
    </row>
    <row r="104" customFormat="false" ht="15" hidden="false" customHeight="false" outlineLevel="0" collapsed="false">
      <c r="A104" s="33" t="n">
        <v>46028</v>
      </c>
      <c r="B104" s="34" t="n">
        <v>691.809997558594</v>
      </c>
      <c r="C104" s="34" t="n">
        <v>262.359985351563</v>
      </c>
      <c r="D104" s="34" t="n">
        <v>478.510009765625</v>
      </c>
      <c r="E104" s="34" t="n">
        <v>204.789993286133</v>
      </c>
      <c r="F104" s="34" t="n">
        <v>334.609985351563</v>
      </c>
      <c r="G104" s="34" t="n">
        <v>81.0500030517578</v>
      </c>
      <c r="H104" s="34" t="n">
        <v>87.2799987792969</v>
      </c>
      <c r="I104" s="34" t="n">
        <v>413.179992675781</v>
      </c>
      <c r="J104" s="34" t="n">
        <v>89.370002746582</v>
      </c>
      <c r="L104" s="35" t="n">
        <f aca="false">IF(COUNT(N104:V104)&lt;9,"",SUMPRODUCT($B$12:$J$12,N104:V104))</f>
        <v>0.00132372064578923</v>
      </c>
      <c r="N104" s="35" t="n">
        <f aca="false">IF(OR(B104="",B103="",B103=0),"",B104/B103-1)</f>
        <v>0.00594722711234819</v>
      </c>
      <c r="O104" s="35" t="n">
        <f aca="false">IF(OR(C104="",C103="",C103=0),"",C104/C103-1)</f>
        <v>-0.018334297070329</v>
      </c>
      <c r="P104" s="35" t="n">
        <f aca="false">IF(OR(D104="",D103="",D103=0),"",D104/D103-1)</f>
        <v>0.0119699769251349</v>
      </c>
      <c r="Q104" s="35" t="n">
        <f aca="false">IF(OR(E104="",E103="",E103=0),"",E104/E103-1)</f>
        <v>0.00234935017020566</v>
      </c>
      <c r="R104" s="35" t="n">
        <f aca="false">IF(OR(F104="",F103="",F103=0),"",F104/F103-1)</f>
        <v>0.00170631299263779</v>
      </c>
      <c r="S104" s="35" t="n">
        <f aca="false">IF(OR(G104="",G103="",G103=0),"",G104/G103-1)</f>
        <v>-0.00332017516084171</v>
      </c>
      <c r="T104" s="35" t="n">
        <f aca="false">IF(OR(H104="",H103="",H103=0),"",H104/H103-1)</f>
        <v>-0.0020580872062661</v>
      </c>
      <c r="U104" s="35" t="n">
        <f aca="false">IF(OR(I104="",I103="",I103=0),"",I104/I103-1)</f>
        <v>0.0108131490472621</v>
      </c>
      <c r="V104" s="35" t="n">
        <f aca="false">IF(OR(J104="",J103="",J103=0),"",J104/J103-1)</f>
        <v>0.00732643729638749</v>
      </c>
    </row>
    <row r="105" customFormat="false" ht="15" hidden="false" customHeight="false" outlineLevel="0" collapsed="false">
      <c r="A105" s="33" t="n">
        <v>46029</v>
      </c>
      <c r="B105" s="34" t="n">
        <v>689.580017089844</v>
      </c>
      <c r="C105" s="34" t="n">
        <v>260.329986572266</v>
      </c>
      <c r="D105" s="34" t="n">
        <v>483.470001220703</v>
      </c>
      <c r="E105" s="34" t="n">
        <v>207.490005493164</v>
      </c>
      <c r="F105" s="34" t="n">
        <v>326.989990234375</v>
      </c>
      <c r="G105" s="34" t="n">
        <v>78.370002746582</v>
      </c>
      <c r="H105" s="34" t="n">
        <v>87.7900009155273</v>
      </c>
      <c r="I105" s="34" t="n">
        <v>409.230010986328</v>
      </c>
      <c r="J105" s="34" t="n">
        <v>88.5</v>
      </c>
      <c r="L105" s="35" t="n">
        <f aca="false">IF(COUNT(N105:V105)&lt;9,"",SUMPRODUCT($B$12:$J$12,N105:V105))</f>
        <v>-0.00374051999055109</v>
      </c>
      <c r="N105" s="35" t="n">
        <f aca="false">IF(OR(B105="",B104="",B104=0),"",B105/B104-1)</f>
        <v>-0.00322340017724465</v>
      </c>
      <c r="O105" s="35" t="n">
        <f aca="false">IF(OR(C105="",C104="",C104=0),"",C105/C104-1)</f>
        <v>-0.00773745575788465</v>
      </c>
      <c r="P105" s="35" t="n">
        <f aca="false">IF(OR(D105="",D104="",D104=0),"",D105/D104-1)</f>
        <v>0.0103654915338289</v>
      </c>
      <c r="Q105" s="35" t="n">
        <f aca="false">IF(OR(E105="",E104="",E104=0),"",E105/E104-1)</f>
        <v>0.0131842975513874</v>
      </c>
      <c r="R105" s="35" t="n">
        <f aca="false">IF(OR(F105="",F104="",F104=0),"",F105/F104-1)</f>
        <v>-0.0227727666560278</v>
      </c>
      <c r="S105" s="35" t="n">
        <f aca="false">IF(OR(G105="",G104="",G104=0),"",G105/G104-1)</f>
        <v>-0.033066011156895</v>
      </c>
      <c r="T105" s="35" t="n">
        <f aca="false">IF(OR(H105="",H104="",H104=0),"",H105/H104-1)</f>
        <v>0.00584328761873643</v>
      </c>
      <c r="U105" s="35" t="n">
        <f aca="false">IF(OR(I105="",I104="",I104=0),"",I105/I104-1)</f>
        <v>-0.00955995391711173</v>
      </c>
      <c r="V105" s="35" t="n">
        <f aca="false">IF(OR(J105="",J104="",J104=0),"",J105/J104-1)</f>
        <v>-0.0097348407725687</v>
      </c>
    </row>
    <row r="106" customFormat="false" ht="15" hidden="false" customHeight="false" outlineLevel="0" collapsed="false">
      <c r="A106" s="33" t="n">
        <v>46030</v>
      </c>
      <c r="B106" s="34" t="n">
        <v>689.510009765625</v>
      </c>
      <c r="C106" s="34" t="n">
        <v>259.040008544922</v>
      </c>
      <c r="D106" s="34" t="n">
        <v>478.109985351563</v>
      </c>
      <c r="E106" s="34" t="n">
        <v>205.75</v>
      </c>
      <c r="F106" s="34" t="n">
        <v>329.790008544922</v>
      </c>
      <c r="G106" s="34" t="n">
        <v>79.4899978637695</v>
      </c>
      <c r="H106" s="34" t="n">
        <v>87.3499984741211</v>
      </c>
      <c r="I106" s="34" t="n">
        <v>411.489990234375</v>
      </c>
      <c r="J106" s="34" t="n">
        <v>89.2900009155273</v>
      </c>
      <c r="L106" s="35" t="n">
        <f aca="false">IF(COUNT(N106:V106)&lt;9,"",SUMPRODUCT($B$12:$J$12,N106:V106))</f>
        <v>-0.00104050101436828</v>
      </c>
      <c r="N106" s="35" t="n">
        <f aca="false">IF(OR(B106="",B105="",B105=0),"",B106/B105-1)</f>
        <v>-0.000101521683465333</v>
      </c>
      <c r="O106" s="35" t="n">
        <f aca="false">IF(OR(C106="",C105="",C105=0),"",C106/C105-1)</f>
        <v>-0.00495516495940029</v>
      </c>
      <c r="P106" s="35" t="n">
        <f aca="false">IF(OR(D106="",D105="",D105=0),"",D106/D105-1)</f>
        <v>-0.0110865531586378</v>
      </c>
      <c r="Q106" s="35" t="n">
        <f aca="false">IF(OR(E106="",E105="",E105=0),"",E106/E105-1)</f>
        <v>-0.00838597256300777</v>
      </c>
      <c r="R106" s="35" t="n">
        <f aca="false">IF(OR(F106="",F105="",F105=0),"",F106/F105-1)</f>
        <v>0.00856300924850961</v>
      </c>
      <c r="S106" s="35" t="n">
        <f aca="false">IF(OR(G106="",G105="",G105=0),"",G106/G105-1)</f>
        <v>0.0142911200451163</v>
      </c>
      <c r="T106" s="35" t="n">
        <f aca="false">IF(OR(H106="",H105="",H105=0),"",H106/H105-1)</f>
        <v>-0.00501198811729808</v>
      </c>
      <c r="U106" s="35" t="n">
        <f aca="false">IF(OR(I106="",I105="",I105=0),"",I106/I105-1)</f>
        <v>0.00552251591372777</v>
      </c>
      <c r="V106" s="35" t="n">
        <f aca="false">IF(OR(J106="",J105="",J105=0),"",J106/J105-1)</f>
        <v>0.00892656401725755</v>
      </c>
    </row>
    <row r="107" customFormat="false" ht="15" hidden="false" customHeight="false" outlineLevel="0" collapsed="false">
      <c r="A107" s="33" t="n">
        <v>46031</v>
      </c>
      <c r="B107" s="34" t="n">
        <v>694.070007324219</v>
      </c>
      <c r="C107" s="34" t="n">
        <v>259.369995117188</v>
      </c>
      <c r="D107" s="34" t="n">
        <v>479.279998779297</v>
      </c>
      <c r="E107" s="34" t="n">
        <v>204.389999389648</v>
      </c>
      <c r="F107" s="34" t="n">
        <v>329.190002441406</v>
      </c>
      <c r="G107" s="34" t="n">
        <v>79.8899993896484</v>
      </c>
      <c r="H107" s="34" t="n">
        <v>87.9300003051758</v>
      </c>
      <c r="I107" s="34" t="n">
        <v>414.470001220703</v>
      </c>
      <c r="J107" s="34" t="n">
        <v>89.4700012207031</v>
      </c>
      <c r="L107" s="35" t="n">
        <f aca="false">IF(COUNT(N107:V107)&lt;9,"",SUMPRODUCT($B$12:$J$12,N107:V107))</f>
        <v>0.00273130779745442</v>
      </c>
      <c r="N107" s="35" t="n">
        <f aca="false">IF(OR(B107="",B106="",B106=0),"",B107/B106-1)</f>
        <v>0.0066133884845907</v>
      </c>
      <c r="O107" s="35" t="n">
        <f aca="false">IF(OR(C107="",C106="",C106=0),"",C107/C106-1)</f>
        <v>0.00127388264893757</v>
      </c>
      <c r="P107" s="35" t="n">
        <f aca="false">IF(OR(D107="",D106="",D106=0),"",D107/D106-1)</f>
        <v>0.00244716375641829</v>
      </c>
      <c r="Q107" s="35" t="n">
        <f aca="false">IF(OR(E107="",E106="",E106=0),"",E107/E106-1)</f>
        <v>-0.00660996651446899</v>
      </c>
      <c r="R107" s="35" t="n">
        <f aca="false">IF(OR(F107="",F106="",F106=0),"",F107/F106-1)</f>
        <v>-0.00181935803987288</v>
      </c>
      <c r="S107" s="35" t="n">
        <f aca="false">IF(OR(G107="",G106="",G106=0),"",G107/G106-1)</f>
        <v>0.00503209883794953</v>
      </c>
      <c r="T107" s="35" t="n">
        <f aca="false">IF(OR(H107="",H106="",H106=0),"",H107/H106-1)</f>
        <v>0.006639975285478</v>
      </c>
      <c r="U107" s="35" t="n">
        <f aca="false">IF(OR(I107="",I106="",I106=0),"",I107/I106-1)</f>
        <v>0.00724200115932505</v>
      </c>
      <c r="V107" s="35" t="n">
        <f aca="false">IF(OR(J107="",J106="",J106=0),"",J107/J106-1)</f>
        <v>0.00201590663377949</v>
      </c>
    </row>
    <row r="108" customFormat="false" ht="15" hidden="false" customHeight="false" outlineLevel="0" collapsed="false">
      <c r="A108" s="33" t="n">
        <v>46034</v>
      </c>
      <c r="B108" s="34" t="n">
        <v>695.159973144531</v>
      </c>
      <c r="C108" s="34" t="n">
        <v>260.25</v>
      </c>
      <c r="D108" s="34" t="n">
        <v>477.179992675781</v>
      </c>
      <c r="E108" s="34" t="n">
        <v>209.720001220703</v>
      </c>
      <c r="F108" s="34" t="n">
        <v>324.489990234375</v>
      </c>
      <c r="G108" s="34" t="n">
        <v>81.120002746582</v>
      </c>
      <c r="H108" s="34" t="n">
        <v>87.6699981689453</v>
      </c>
      <c r="I108" s="34" t="n">
        <v>422.230010986328</v>
      </c>
      <c r="J108" s="34" t="n">
        <v>89.5899963378906</v>
      </c>
      <c r="L108" s="35" t="n">
        <f aca="false">IF(COUNT(N108:V108)&lt;9,"",SUMPRODUCT($B$12:$J$12,N108:V108))</f>
        <v>0.00410004321301317</v>
      </c>
      <c r="N108" s="35" t="n">
        <f aca="false">IF(OR(B108="",B107="",B107=0),"",B108/B107-1)</f>
        <v>0.00157039752303101</v>
      </c>
      <c r="O108" s="35" t="n">
        <f aca="false">IF(OR(C108="",C107="",C107=0),"",C108/C107-1)</f>
        <v>0.0033928553779492</v>
      </c>
      <c r="P108" s="35" t="n">
        <f aca="false">IF(OR(D108="",D107="",D107=0),"",D108/D107-1)</f>
        <v>-0.00438158510445785</v>
      </c>
      <c r="Q108" s="35" t="n">
        <f aca="false">IF(OR(E108="",E107="",E107=0),"",E108/E107-1)</f>
        <v>0.0260776057878152</v>
      </c>
      <c r="R108" s="35" t="n">
        <f aca="false">IF(OR(F108="",F107="",F107=0),"",F108/F107-1)</f>
        <v>-0.0142775059150455</v>
      </c>
      <c r="S108" s="35" t="n">
        <f aca="false">IF(OR(G108="",G107="",G107=0),"",G108/G107-1)</f>
        <v>0.0153962118704558</v>
      </c>
      <c r="T108" s="35" t="n">
        <f aca="false">IF(OR(H108="",H107="",H107=0),"",H108/H107-1)</f>
        <v>-0.00295692181653717</v>
      </c>
      <c r="U108" s="35" t="n">
        <f aca="false">IF(OR(I108="",I107="",I107=0),"",I108/I107-1)</f>
        <v>0.0187227296131689</v>
      </c>
      <c r="V108" s="35" t="n">
        <f aca="false">IF(OR(J108="",J107="",J107=0),"",J108/J107-1)</f>
        <v>0.00134117710461967</v>
      </c>
    </row>
    <row r="109" customFormat="false" ht="15" hidden="false" customHeight="false" outlineLevel="0" collapsed="false">
      <c r="A109" s="33" t="n">
        <v>46035</v>
      </c>
      <c r="B109" s="34" t="n">
        <v>693.77001953125</v>
      </c>
      <c r="C109" s="34" t="n">
        <v>261.049987792969</v>
      </c>
      <c r="D109" s="34" t="n">
        <v>470.670013427734</v>
      </c>
      <c r="E109" s="34" t="n">
        <v>213.649993896484</v>
      </c>
      <c r="F109" s="34" t="n">
        <v>310.899993896484</v>
      </c>
      <c r="G109" s="34" t="n">
        <v>81.6399993896484</v>
      </c>
      <c r="H109" s="34" t="n">
        <v>87.8199996948242</v>
      </c>
      <c r="I109" s="34" t="n">
        <v>421.630004882813</v>
      </c>
      <c r="J109" s="34" t="n">
        <v>90.0899963378906</v>
      </c>
      <c r="L109" s="35" t="n">
        <f aca="false">IF(COUNT(N109:V109)&lt;9,"",SUMPRODUCT($B$12:$J$12,N109:V109))</f>
        <v>-0.00270973997890419</v>
      </c>
      <c r="N109" s="35" t="n">
        <f aca="false">IF(OR(B109="",B108="",B108=0),"",B109/B108-1)</f>
        <v>-0.00199947302344472</v>
      </c>
      <c r="O109" s="35" t="n">
        <f aca="false">IF(OR(C109="",C108="",C108=0),"",C109/C108-1)</f>
        <v>0.00307392043407861</v>
      </c>
      <c r="P109" s="35" t="n">
        <f aca="false">IF(OR(D109="",D108="",D108=0),"",D109/D108-1)</f>
        <v>-0.0136426072927794</v>
      </c>
      <c r="Q109" s="35" t="n">
        <f aca="false">IF(OR(E109="",E108="",E108=0),"",E109/E108-1)</f>
        <v>0.0187392363766257</v>
      </c>
      <c r="R109" s="35" t="n">
        <f aca="false">IF(OR(F109="",F108="",F108=0),"",F109/F108-1)</f>
        <v>-0.0418810957098403</v>
      </c>
      <c r="S109" s="35" t="n">
        <f aca="false">IF(OR(G109="",G108="",G108=0),"",G109/G108-1)</f>
        <v>0.00641021481089998</v>
      </c>
      <c r="T109" s="35" t="n">
        <f aca="false">IF(OR(H109="",H108="",H108=0),"",H109/H108-1)</f>
        <v>0.00171097900093309</v>
      </c>
      <c r="U109" s="35" t="n">
        <f aca="false">IF(OR(I109="",I108="",I108=0),"",I109/I108-1)</f>
        <v>-0.00142104087322781</v>
      </c>
      <c r="V109" s="35" t="n">
        <f aca="false">IF(OR(J109="",J108="",J108=0),"",J109/J108-1)</f>
        <v>0.0055809802482214</v>
      </c>
    </row>
    <row r="110" customFormat="false" ht="15" hidden="false" customHeight="false" outlineLevel="0" collapsed="false">
      <c r="A110" s="33" t="n">
        <v>46036</v>
      </c>
      <c r="B110" s="34" t="n">
        <v>690.359985351563</v>
      </c>
      <c r="C110" s="34" t="n">
        <v>259.959991455078</v>
      </c>
      <c r="D110" s="34" t="n">
        <v>459.380004882813</v>
      </c>
      <c r="E110" s="34" t="n">
        <v>218.550003051758</v>
      </c>
      <c r="F110" s="34" t="n">
        <v>307.869995117188</v>
      </c>
      <c r="G110" s="34" t="n">
        <v>81.9800033569336</v>
      </c>
      <c r="H110" s="34" t="n">
        <v>88.3300018310547</v>
      </c>
      <c r="I110" s="34" t="n">
        <v>425.940002441406</v>
      </c>
      <c r="J110" s="34" t="n">
        <v>90.870002746582</v>
      </c>
      <c r="L110" s="35" t="n">
        <f aca="false">IF(COUNT(N110:V110)&lt;9,"",SUMPRODUCT($B$12:$J$12,N110:V110))</f>
        <v>-0.0006888560827632</v>
      </c>
      <c r="N110" s="35" t="n">
        <f aca="false">IF(OR(B110="",B109="",B109=0),"",B110/B109-1)</f>
        <v>-0.00491522274483847</v>
      </c>
      <c r="O110" s="35" t="n">
        <f aca="false">IF(OR(C110="",C109="",C109=0),"",C110/C109-1)</f>
        <v>-0.00417543148385591</v>
      </c>
      <c r="P110" s="35" t="n">
        <f aca="false">IF(OR(D110="",D109="",D109=0),"",D110/D109-1)</f>
        <v>-0.0239870997149353</v>
      </c>
      <c r="Q110" s="35" t="n">
        <f aca="false">IF(OR(E110="",E109="",E109=0),"",E110/E109-1)</f>
        <v>0.0229347498022776</v>
      </c>
      <c r="R110" s="35" t="n">
        <f aca="false">IF(OR(F110="",F109="",F109=0),"",F110/F109-1)</f>
        <v>-0.00974589526786807</v>
      </c>
      <c r="S110" s="35" t="n">
        <f aca="false">IF(OR(G110="",G109="",G109=0),"",G110/G109-1)</f>
        <v>0.00416467380973917</v>
      </c>
      <c r="T110" s="35" t="n">
        <f aca="false">IF(OR(H110="",H109="",H109=0),"",H110/H109-1)</f>
        <v>0.00580735752679074</v>
      </c>
      <c r="U110" s="35" t="n">
        <f aca="false">IF(OR(I110="",I109="",I109=0),"",I110/I109-1)</f>
        <v>0.0102222268545402</v>
      </c>
      <c r="V110" s="35" t="n">
        <f aca="false">IF(OR(J110="",J109="",J109=0),"",J110/J109-1)</f>
        <v>0.0086580801465006</v>
      </c>
    </row>
    <row r="111" customFormat="false" ht="15" hidden="false" customHeight="false" outlineLevel="0" collapsed="false">
      <c r="A111" s="33" t="n">
        <v>46037</v>
      </c>
      <c r="B111" s="34" t="n">
        <v>692.239990234375</v>
      </c>
      <c r="C111" s="34" t="n">
        <v>258.209991455078</v>
      </c>
      <c r="D111" s="34" t="n">
        <v>456.660003662109</v>
      </c>
      <c r="E111" s="34" t="n">
        <v>219.570007324219</v>
      </c>
      <c r="F111" s="34" t="n">
        <v>309.260009765625</v>
      </c>
      <c r="G111" s="34" t="n">
        <v>82.1900024414063</v>
      </c>
      <c r="H111" s="34" t="n">
        <v>88.3099975585938</v>
      </c>
      <c r="I111" s="34" t="n">
        <v>423.329986572266</v>
      </c>
      <c r="J111" s="34" t="n">
        <v>91.5</v>
      </c>
      <c r="L111" s="35" t="n">
        <f aca="false">IF(COUNT(N111:V111)&lt;9,"",SUMPRODUCT($B$12:$J$12,N111:V111))</f>
        <v>-0.000466476256576125</v>
      </c>
      <c r="N111" s="35" t="n">
        <f aca="false">IF(OR(B111="",B110="",B110=0),"",B111/B110-1)</f>
        <v>0.00272322400298841</v>
      </c>
      <c r="O111" s="35" t="n">
        <f aca="false">IF(OR(C111="",C110="",C110=0),"",C111/C110-1)</f>
        <v>-0.00673180511433591</v>
      </c>
      <c r="P111" s="35" t="n">
        <f aca="false">IF(OR(D111="",D110="",D110=0),"",D111/D110-1)</f>
        <v>-0.00592102658320515</v>
      </c>
      <c r="Q111" s="35" t="n">
        <f aca="false">IF(OR(E111="",E110="",E110=0),"",E111/E110-1)</f>
        <v>0.00466714371181887</v>
      </c>
      <c r="R111" s="35" t="n">
        <f aca="false">IF(OR(F111="",F110="",F110=0),"",F111/F110-1)</f>
        <v>0.00451494030104449</v>
      </c>
      <c r="S111" s="35" t="n">
        <f aca="false">IF(OR(G111="",G110="",G110=0),"",G111/G110-1)</f>
        <v>0.00256158911775595</v>
      </c>
      <c r="T111" s="35" t="n">
        <f aca="false">IF(OR(H111="",H110="",H110=0),"",H111/H110-1)</f>
        <v>-0.000226472003240219</v>
      </c>
      <c r="U111" s="35" t="n">
        <f aca="false">IF(OR(I111="",I110="",I110=0),"",I111/I110-1)</f>
        <v>-0.00612766083058625</v>
      </c>
      <c r="V111" s="35" t="n">
        <f aca="false">IF(OR(J111="",J110="",J110=0),"",J111/J110-1)</f>
        <v>0.00693295074695799</v>
      </c>
    </row>
    <row r="112" customFormat="false" ht="15" hidden="false" customHeight="false" outlineLevel="0" collapsed="false">
      <c r="A112" s="33" t="n">
        <v>46038</v>
      </c>
      <c r="B112" s="34" t="n">
        <v>691.659973144531</v>
      </c>
      <c r="C112" s="34" t="n">
        <v>255.529998779297</v>
      </c>
      <c r="D112" s="34" t="n">
        <v>459.859985351563</v>
      </c>
      <c r="E112" s="34" t="n">
        <v>218.660003662109</v>
      </c>
      <c r="F112" s="34" t="n">
        <v>312.470001220703</v>
      </c>
      <c r="G112" s="34" t="n">
        <v>83.629997253418</v>
      </c>
      <c r="H112" s="34" t="n">
        <v>87.8000030517578</v>
      </c>
      <c r="I112" s="34" t="n">
        <v>421.290008544922</v>
      </c>
      <c r="J112" s="34" t="n">
        <v>92.620002746582</v>
      </c>
      <c r="L112" s="35" t="n">
        <f aca="false">IF(COUNT(N112:V112)&lt;9,"",SUMPRODUCT($B$12:$J$12,N112:V112))</f>
        <v>5.14245032663006E-005</v>
      </c>
      <c r="N112" s="35" t="n">
        <f aca="false">IF(OR(B112="",B111="",B111=0),"",B112/B111-1)</f>
        <v>-0.000837884401401867</v>
      </c>
      <c r="O112" s="35" t="n">
        <f aca="false">IF(OR(C112="",C111="",C111=0),"",C112/C111-1)</f>
        <v>-0.0103791207330073</v>
      </c>
      <c r="P112" s="35" t="n">
        <f aca="false">IF(OR(D112="",D111="",D111=0),"",D112/D111-1)</f>
        <v>0.00700736141504033</v>
      </c>
      <c r="Q112" s="35" t="n">
        <f aca="false">IF(OR(E112="",E111="",E111=0),"",E112/E111-1)</f>
        <v>-0.00414448072029383</v>
      </c>
      <c r="R112" s="35" t="n">
        <f aca="false">IF(OR(F112="",F111="",F111=0),"",F112/F111-1)</f>
        <v>0.0103795878992268</v>
      </c>
      <c r="S112" s="35" t="n">
        <f aca="false">IF(OR(G112="",G111="",G111=0),"",G112/G111-1)</f>
        <v>0.0175203159659019</v>
      </c>
      <c r="T112" s="35" t="n">
        <f aca="false">IF(OR(H112="",H111="",H111=0),"",H112/H111-1)</f>
        <v>-0.00577504836298548</v>
      </c>
      <c r="U112" s="35" t="n">
        <f aca="false">IF(OR(I112="",I111="",I111=0),"",I112/I111-1)</f>
        <v>-0.00481888383070117</v>
      </c>
      <c r="V112" s="35" t="n">
        <f aca="false">IF(OR(J112="",J111="",J111=0),"",J112/J111-1)</f>
        <v>0.0122404671757597</v>
      </c>
    </row>
    <row r="113" customFormat="false" ht="15" hidden="false" customHeight="false" outlineLevel="0" collapsed="false">
      <c r="A113" s="33" t="n">
        <v>46042</v>
      </c>
      <c r="B113" s="34" t="n">
        <v>677.580017089844</v>
      </c>
      <c r="C113" s="34" t="n">
        <v>246.699996948242</v>
      </c>
      <c r="D113" s="34" t="n">
        <v>454.519989013672</v>
      </c>
      <c r="E113" s="34" t="n">
        <v>218.210006713867</v>
      </c>
      <c r="F113" s="34" t="n">
        <v>302.739990234375</v>
      </c>
      <c r="G113" s="34" t="n">
        <v>83.5100021362305</v>
      </c>
      <c r="H113" s="34" t="n">
        <v>86.6500015258789</v>
      </c>
      <c r="I113" s="34" t="n">
        <v>437.230010986328</v>
      </c>
      <c r="J113" s="34" t="n">
        <v>90.9000015258789</v>
      </c>
      <c r="L113" s="35" t="n">
        <f aca="false">IF(COUNT(N113:V113)&lt;9,"",SUMPRODUCT($B$12:$J$12,N113:V113))</f>
        <v>-0.0130345483031404</v>
      </c>
      <c r="N113" s="35" t="n">
        <f aca="false">IF(OR(B113="",B112="",B112=0),"",B113/B112-1)</f>
        <v>-0.0203567599707623</v>
      </c>
      <c r="O113" s="35" t="n">
        <f aca="false">IF(OR(C113="",C112="",C112=0),"",C113/C112-1)</f>
        <v>-0.0345556368067826</v>
      </c>
      <c r="P113" s="35" t="n">
        <f aca="false">IF(OR(D113="",D112="",D112=0),"",D113/D112-1)</f>
        <v>-0.0116122222154393</v>
      </c>
      <c r="Q113" s="35" t="n">
        <f aca="false">IF(OR(E113="",E112="",E112=0),"",E113/E112-1)</f>
        <v>-0.00205797558175014</v>
      </c>
      <c r="R113" s="35" t="n">
        <f aca="false">IF(OR(F113="",F112="",F112=0),"",F113/F112-1)</f>
        <v>-0.0311390243809534</v>
      </c>
      <c r="S113" s="35" t="n">
        <f aca="false">IF(OR(G113="",G112="",G112=0),"",G113/G112-1)</f>
        <v>-0.00143483344647122</v>
      </c>
      <c r="T113" s="35" t="n">
        <f aca="false">IF(OR(H113="",H112="",H112=0),"",H113/H112-1)</f>
        <v>-0.0130979668098755</v>
      </c>
      <c r="U113" s="35" t="n">
        <f aca="false">IF(OR(I113="",I112="",I112=0),"",I113/I112-1)</f>
        <v>0.0378361748868923</v>
      </c>
      <c r="V113" s="35" t="n">
        <f aca="false">IF(OR(J113="",J112="",J112=0),"",J113/J112-1)</f>
        <v>-0.0185705157600696</v>
      </c>
    </row>
    <row r="114" customFormat="false" ht="15" hidden="false" customHeight="false" outlineLevel="0" collapsed="false">
      <c r="A114" s="33" t="n">
        <v>46043</v>
      </c>
      <c r="B114" s="34" t="n">
        <v>685.400024414063</v>
      </c>
      <c r="C114" s="34" t="n">
        <v>247.649993896484</v>
      </c>
      <c r="D114" s="34" t="n">
        <v>444.109985351563</v>
      </c>
      <c r="E114" s="34" t="n">
        <v>218.009994506836</v>
      </c>
      <c r="F114" s="34" t="n">
        <v>302.040008544922</v>
      </c>
      <c r="G114" s="34" t="n">
        <v>83.8499984741211</v>
      </c>
      <c r="H114" s="34" t="n">
        <v>87.3099975585938</v>
      </c>
      <c r="I114" s="34" t="n">
        <v>443.600006103516</v>
      </c>
      <c r="J114" s="34" t="n">
        <v>91.2600021362305</v>
      </c>
      <c r="L114" s="35" t="n">
        <f aca="false">IF(COUNT(N114:V114)&lt;9,"",SUMPRODUCT($B$12:$J$12,N114:V114))</f>
        <v>0.00242117188146251</v>
      </c>
      <c r="N114" s="35" t="n">
        <f aca="false">IF(OR(B114="",B113="",B113=0),"",B114/B113-1)</f>
        <v>0.01154108315916</v>
      </c>
      <c r="O114" s="35" t="n">
        <f aca="false">IF(OR(C114="",C113="",C113=0),"",C114/C113-1)</f>
        <v>0.0038508186461037</v>
      </c>
      <c r="P114" s="35" t="n">
        <f aca="false">IF(OR(D114="",D113="",D113=0),"",D114/D113-1)</f>
        <v>-0.0229032911945174</v>
      </c>
      <c r="Q114" s="35" t="n">
        <f aca="false">IF(OR(E114="",E113="",E113=0),"",E114/E113-1)</f>
        <v>-0.000916604192644832</v>
      </c>
      <c r="R114" s="35" t="n">
        <f aca="false">IF(OR(F114="",F113="",F113=0),"",F114/F113-1)</f>
        <v>-0.00231215469390444</v>
      </c>
      <c r="S114" s="35" t="n">
        <f aca="false">IF(OR(G114="",G113="",G113=0),"",G114/G113-1)</f>
        <v>0.00407132474186689</v>
      </c>
      <c r="T114" s="35" t="n">
        <f aca="false">IF(OR(H114="",H113="",H113=0),"",H114/H113-1)</f>
        <v>0.00761680347481342</v>
      </c>
      <c r="U114" s="35" t="n">
        <f aca="false">IF(OR(I114="",I113="",I113=0),"",I114/I113-1)</f>
        <v>0.0145689796151418</v>
      </c>
      <c r="V114" s="35" t="n">
        <f aca="false">IF(OR(J114="",J113="",J113=0),"",J114/J113-1)</f>
        <v>0.00396040268766229</v>
      </c>
    </row>
    <row r="115" customFormat="false" ht="15" hidden="false" customHeight="false" outlineLevel="0" collapsed="false">
      <c r="A115" s="33" t="n">
        <v>46044</v>
      </c>
      <c r="B115" s="34" t="n">
        <v>688.97998046875</v>
      </c>
      <c r="C115" s="34" t="n">
        <v>248.350006103516</v>
      </c>
      <c r="D115" s="34" t="n">
        <v>451.140014648438</v>
      </c>
      <c r="E115" s="34" t="n">
        <v>218.490005493164</v>
      </c>
      <c r="F115" s="34" t="n">
        <v>303.630004882813</v>
      </c>
      <c r="G115" s="34" t="n">
        <v>85.0699996948242</v>
      </c>
      <c r="H115" s="34" t="n">
        <v>87.6900024414063</v>
      </c>
      <c r="I115" s="34" t="n">
        <v>451.790008544922</v>
      </c>
      <c r="J115" s="34" t="n">
        <v>90.3600006103516</v>
      </c>
      <c r="L115" s="35" t="n">
        <f aca="false">IF(COUNT(N115:V115)&lt;9,"",SUMPRODUCT($B$12:$J$12,N115:V115))</f>
        <v>0.00640646737783829</v>
      </c>
      <c r="N115" s="35" t="n">
        <f aca="false">IF(OR(B115="",B114="",B114=0),"",B115/B114-1)</f>
        <v>0.0052231630101669</v>
      </c>
      <c r="O115" s="35" t="n">
        <f aca="false">IF(OR(C115="",C114="",C114=0),"",C115/C114-1)</f>
        <v>0.00282661911683557</v>
      </c>
      <c r="P115" s="35" t="n">
        <f aca="false">IF(OR(D115="",D114="",D114=0),"",D115/D114-1)</f>
        <v>0.015829478121979</v>
      </c>
      <c r="Q115" s="35" t="n">
        <f aca="false">IF(OR(E115="",E114="",E114=0),"",E115/E114-1)</f>
        <v>0.0022017843145854</v>
      </c>
      <c r="R115" s="35" t="n">
        <f aca="false">IF(OR(F115="",F114="",F114=0),"",F115/F114-1)</f>
        <v>0.0052641911432556</v>
      </c>
      <c r="S115" s="35" t="n">
        <f aca="false">IF(OR(G115="",G114="",G114=0),"",G115/G114-1)</f>
        <v>0.0145498061169274</v>
      </c>
      <c r="T115" s="35" t="n">
        <f aca="false">IF(OR(H115="",H114="",H114=0),"",H115/H114-1)</f>
        <v>0.00435236391522609</v>
      </c>
      <c r="U115" s="35" t="n">
        <f aca="false">IF(OR(I115="",I114="",I114=0),"",I115/I114-1)</f>
        <v>0.0184625841495025</v>
      </c>
      <c r="V115" s="35" t="n">
        <f aca="false">IF(OR(J115="",J114="",J114=0),"",J115/J114-1)</f>
        <v>-0.0098619494281339</v>
      </c>
    </row>
    <row r="116" customFormat="false" ht="15" hidden="false" customHeight="false" outlineLevel="0" collapsed="false">
      <c r="A116" s="33" t="n">
        <v>46045</v>
      </c>
      <c r="B116" s="34" t="n">
        <v>689.22998046875</v>
      </c>
      <c r="C116" s="34" t="n">
        <v>248.039993286133</v>
      </c>
      <c r="D116" s="34" t="n">
        <v>465.950012207031</v>
      </c>
      <c r="E116" s="34" t="n">
        <v>220.139999389648</v>
      </c>
      <c r="F116" s="34" t="n">
        <v>297.720001220703</v>
      </c>
      <c r="G116" s="34" t="n">
        <v>84.8099975585938</v>
      </c>
      <c r="H116" s="34" t="n">
        <v>87.9300003051758</v>
      </c>
      <c r="I116" s="34" t="n">
        <v>458</v>
      </c>
      <c r="J116" s="34" t="n">
        <v>90.5400009155273</v>
      </c>
      <c r="L116" s="35" t="n">
        <f aca="false">IF(COUNT(N116:V116)&lt;9,"",SUMPRODUCT($B$12:$J$12,N116:V116))</f>
        <v>0.00473320703915475</v>
      </c>
      <c r="N116" s="35" t="n">
        <f aca="false">IF(OR(B116="",B115="",B115=0),"",B116/B115-1)</f>
        <v>0.000362855245561677</v>
      </c>
      <c r="O116" s="35" t="n">
        <f aca="false">IF(OR(C116="",C115="",C115=0),"",C116/C115-1)</f>
        <v>-0.00124828995274417</v>
      </c>
      <c r="P116" s="35" t="n">
        <f aca="false">IF(OR(D116="",D115="",D115=0),"",D116/D115-1)</f>
        <v>0.032827940501208</v>
      </c>
      <c r="Q116" s="35" t="n">
        <f aca="false">IF(OR(E116="",E115="",E115=0),"",E116/E115-1)</f>
        <v>0.00755180491098306</v>
      </c>
      <c r="R116" s="35" t="n">
        <f aca="false">IF(OR(F116="",F115="",F115=0),"",F116/F115-1)</f>
        <v>-0.0194644915425634</v>
      </c>
      <c r="S116" s="35" t="n">
        <f aca="false">IF(OR(G116="",G115="",G115=0),"",G116/G115-1)</f>
        <v>-0.00305633169346553</v>
      </c>
      <c r="T116" s="35" t="n">
        <f aca="false">IF(OR(H116="",H115="",H115=0),"",H116/H115-1)</f>
        <v>0.00273688969195618</v>
      </c>
      <c r="U116" s="35" t="n">
        <f aca="false">IF(OR(I116="",I115="",I115=0),"",I116/I115-1)</f>
        <v>0.0137453049815743</v>
      </c>
      <c r="V116" s="35" t="n">
        <f aca="false">IF(OR(J116="",J115="",J115=0),"",J116/J115-1)</f>
        <v>0.00199203523638625</v>
      </c>
    </row>
    <row r="117" customFormat="false" ht="15" hidden="false" customHeight="false" outlineLevel="0" collapsed="false">
      <c r="A117" s="33" t="n">
        <v>46048</v>
      </c>
      <c r="B117" s="34" t="n">
        <v>692.72998046875</v>
      </c>
      <c r="C117" s="34" t="n">
        <v>255.410003662109</v>
      </c>
      <c r="D117" s="34" t="n">
        <v>470.279998779297</v>
      </c>
      <c r="E117" s="34" t="n">
        <v>221.490005493164</v>
      </c>
      <c r="F117" s="34" t="n">
        <v>301.040008544922</v>
      </c>
      <c r="G117" s="34" t="n">
        <v>85.4700012207031</v>
      </c>
      <c r="H117" s="34" t="n">
        <v>88.3499984741211</v>
      </c>
      <c r="I117" s="34" t="n">
        <v>464.700012207031</v>
      </c>
      <c r="J117" s="34" t="n">
        <v>90.4199981689453</v>
      </c>
      <c r="L117" s="35" t="n">
        <f aca="false">IF(COUNT(N117:V117)&lt;9,"",SUMPRODUCT($B$12:$J$12,N117:V117))</f>
        <v>0.0109144491581117</v>
      </c>
      <c r="N117" s="35" t="n">
        <f aca="false">IF(OR(B117="",B116="",B116=0),"",B117/B116-1)</f>
        <v>0.00507813081145958</v>
      </c>
      <c r="O117" s="35" t="n">
        <f aca="false">IF(OR(C117="",C116="",C116=0),"",C117/C116-1)</f>
        <v>0.0297129921603978</v>
      </c>
      <c r="P117" s="35" t="n">
        <f aca="false">IF(OR(D117="",D116="",D116=0),"",D117/D116-1)</f>
        <v>0.00929281351824929</v>
      </c>
      <c r="Q117" s="35" t="n">
        <f aca="false">IF(OR(E117="",E116="",E116=0),"",E117/E116-1)</f>
        <v>0.00613248890369289</v>
      </c>
      <c r="R117" s="35" t="n">
        <f aca="false">IF(OR(F117="",F116="",F116=0),"",F117/F116-1)</f>
        <v>0.0111514419945129</v>
      </c>
      <c r="S117" s="35" t="n">
        <f aca="false">IF(OR(G117="",G116="",G116=0),"",G117/G116-1)</f>
        <v>0.00778214457149695</v>
      </c>
      <c r="T117" s="35" t="n">
        <f aca="false">IF(OR(H117="",H116="",H116=0),"",H117/H116-1)</f>
        <v>0.00477650594208612</v>
      </c>
      <c r="U117" s="35" t="n">
        <f aca="false">IF(OR(I117="",I116="",I116=0),"",I117/I116-1)</f>
        <v>0.0146288476136049</v>
      </c>
      <c r="V117" s="35" t="n">
        <f aca="false">IF(OR(J117="",J116="",J116=0),"",J117/J116-1)</f>
        <v>-0.00132541136921305</v>
      </c>
    </row>
    <row r="118" customFormat="false" ht="15" hidden="false" customHeight="false" outlineLevel="0" collapsed="false">
      <c r="A118" s="33" t="n">
        <v>46049</v>
      </c>
      <c r="B118" s="34" t="n">
        <v>695.489990234375</v>
      </c>
      <c r="C118" s="34" t="n">
        <v>258.269989013672</v>
      </c>
      <c r="D118" s="34" t="n">
        <v>480.579986572266</v>
      </c>
      <c r="E118" s="34" t="n">
        <v>224.440002441406</v>
      </c>
      <c r="F118" s="34" t="n">
        <v>300.309997558594</v>
      </c>
      <c r="G118" s="34" t="n">
        <v>87.1500015258789</v>
      </c>
      <c r="H118" s="34" t="n">
        <v>87.8000030517578</v>
      </c>
      <c r="I118" s="34" t="n">
        <v>476.100006103516</v>
      </c>
      <c r="J118" s="34" t="n">
        <v>90.3899993896484</v>
      </c>
      <c r="L118" s="35" t="n">
        <f aca="false">IF(COUNT(N118:V118)&lt;9,"",SUMPRODUCT($B$12:$J$12,N118:V118))</f>
        <v>0.0092078741671743</v>
      </c>
      <c r="N118" s="35" t="n">
        <f aca="false">IF(OR(B118="",B117="",B117=0),"",B118/B117-1)</f>
        <v>0.0039842504921721</v>
      </c>
      <c r="O118" s="35" t="n">
        <f aca="false">IF(OR(C118="",C117="",C117=0),"",C118/C117-1)</f>
        <v>0.0111976246449084</v>
      </c>
      <c r="P118" s="35" t="n">
        <f aca="false">IF(OR(D118="",D117="",D117=0),"",D118/D117-1)</f>
        <v>0.0219018198088472</v>
      </c>
      <c r="Q118" s="35" t="n">
        <f aca="false">IF(OR(E118="",E117="",E117=0),"",E118/E117-1)</f>
        <v>0.013318871619844</v>
      </c>
      <c r="R118" s="35" t="n">
        <f aca="false">IF(OR(F118="",F117="",F117=0),"",F118/F117-1)</f>
        <v>-0.0024249633457577</v>
      </c>
      <c r="S118" s="35" t="n">
        <f aca="false">IF(OR(G118="",G117="",G117=0),"",G118/G117-1)</f>
        <v>0.0196560229458482</v>
      </c>
      <c r="T118" s="35" t="n">
        <f aca="false">IF(OR(H118="",H117="",H117=0),"",H118/H117-1)</f>
        <v>-0.00622518881564438</v>
      </c>
      <c r="U118" s="35" t="n">
        <f aca="false">IF(OR(I118="",I117="",I117=0),"",I118/I117-1)</f>
        <v>0.0245319423219772</v>
      </c>
      <c r="V118" s="35" t="n">
        <f aca="false">IF(OR(J118="",J117="",J117=0),"",J118/J117-1)</f>
        <v>-0.000331771509670342</v>
      </c>
    </row>
    <row r="119" customFormat="false" ht="15" hidden="false" customHeight="false" outlineLevel="0" collapsed="false">
      <c r="A119" s="33" t="n">
        <v>46050</v>
      </c>
      <c r="B119" s="34" t="n">
        <v>695.419982910156</v>
      </c>
      <c r="C119" s="34" t="n">
        <v>256.440002441406</v>
      </c>
      <c r="D119" s="34" t="n">
        <v>481.630004882813</v>
      </c>
      <c r="E119" s="34" t="n">
        <v>227.720001220703</v>
      </c>
      <c r="F119" s="34" t="n">
        <v>300.769989013672</v>
      </c>
      <c r="G119" s="34" t="n">
        <v>87.5699996948242</v>
      </c>
      <c r="H119" s="34" t="n">
        <v>87.5999984741211</v>
      </c>
      <c r="I119" s="34" t="n">
        <v>494.559997558594</v>
      </c>
      <c r="J119" s="34" t="n">
        <v>89.4599990844727</v>
      </c>
      <c r="L119" s="35" t="n">
        <f aca="false">IF(COUNT(N119:V119)&lt;9,"",SUMPRODUCT($B$12:$J$12,N119:V119))</f>
        <v>0.0039296457408411</v>
      </c>
      <c r="N119" s="35" t="n">
        <f aca="false">IF(OR(B119="",B118="",B118=0),"",B119/B118-1)</f>
        <v>-0.00010065899610634</v>
      </c>
      <c r="O119" s="35" t="n">
        <f aca="false">IF(OR(C119="",C118="",C118=0),"",C119/C118-1)</f>
        <v>-0.00708555639489761</v>
      </c>
      <c r="P119" s="35" t="n">
        <f aca="false">IF(OR(D119="",D118="",D118=0),"",D119/D118-1)</f>
        <v>0.00218489812286249</v>
      </c>
      <c r="Q119" s="35" t="n">
        <f aca="false">IF(OR(E119="",E118="",E118=0),"",E119/E118-1)</f>
        <v>0.0146141451774102</v>
      </c>
      <c r="R119" s="35" t="n">
        <f aca="false">IF(OR(F119="",F118="",F118=0),"",F119/F118-1)</f>
        <v>0.00153172208323915</v>
      </c>
      <c r="S119" s="35" t="n">
        <f aca="false">IF(OR(G119="",G118="",G118=0),"",G119/G118-1)</f>
        <v>0.00481925601367417</v>
      </c>
      <c r="T119" s="35" t="n">
        <f aca="false">IF(OR(H119="",H118="",H118=0),"",H119/H118-1)</f>
        <v>-0.0022779563859332</v>
      </c>
      <c r="U119" s="35" t="n">
        <f aca="false">IF(OR(I119="",I118="",I118=0),"",I119/I118-1)</f>
        <v>0.0387733484949049</v>
      </c>
      <c r="V119" s="35" t="n">
        <f aca="false">IF(OR(J119="",J118="",J118=0),"",J119/J118-1)</f>
        <v>-0.0102887522010782</v>
      </c>
    </row>
    <row r="120" customFormat="false" ht="15" hidden="false" customHeight="false" outlineLevel="0" collapsed="false">
      <c r="A120" s="33" t="n">
        <v>46051</v>
      </c>
      <c r="B120" s="34" t="n">
        <v>694.039978027344</v>
      </c>
      <c r="C120" s="34" t="n">
        <v>258.279998779297</v>
      </c>
      <c r="D120" s="34" t="n">
        <v>433.5</v>
      </c>
      <c r="E120" s="34" t="n">
        <v>227.289993286133</v>
      </c>
      <c r="F120" s="34" t="n">
        <v>306.420013427734</v>
      </c>
      <c r="G120" s="34" t="n">
        <v>88.1800003051758</v>
      </c>
      <c r="H120" s="34" t="n">
        <v>87.620002746582</v>
      </c>
      <c r="I120" s="34" t="n">
        <v>495.899993896484</v>
      </c>
      <c r="J120" s="34" t="n">
        <v>90.7099990844727</v>
      </c>
      <c r="L120" s="35" t="n">
        <f aca="false">IF(COUNT(N120:V120)&lt;9,"",SUMPRODUCT($B$12:$J$12,N120:V120))</f>
        <v>-0.00867326192323664</v>
      </c>
      <c r="N120" s="35" t="n">
        <f aca="false">IF(OR(B120="",B119="",B119=0),"",B120/B119-1)</f>
        <v>-0.00198441936775684</v>
      </c>
      <c r="O120" s="35" t="n">
        <f aca="false">IF(OR(C120="",C119="",C119=0),"",C120/C119-1)</f>
        <v>0.00717515333167018</v>
      </c>
      <c r="P120" s="35" t="n">
        <f aca="false">IF(OR(D120="",D119="",D119=0),"",D120/D119-1)</f>
        <v>-0.0999314917984059</v>
      </c>
      <c r="Q120" s="35" t="n">
        <f aca="false">IF(OR(E120="",E119="",E119=0),"",E120/E119-1)</f>
        <v>-0.00188831869078221</v>
      </c>
      <c r="R120" s="35" t="n">
        <f aca="false">IF(OR(F120="",F119="",F119=0),"",F120/F119-1)</f>
        <v>0.0187852000546676</v>
      </c>
      <c r="S120" s="35" t="n">
        <f aca="false">IF(OR(G120="",G119="",G119=0),"",G120/G119-1)</f>
        <v>0.00696586288086554</v>
      </c>
      <c r="T120" s="35" t="n">
        <f aca="false">IF(OR(H120="",H119="",H119=0),"",H120/H119-1)</f>
        <v>0.000228359278645618</v>
      </c>
      <c r="U120" s="35" t="n">
        <f aca="false">IF(OR(I120="",I119="",I119=0),"",I120/I119-1)</f>
        <v>0.00270947174155789</v>
      </c>
      <c r="V120" s="35" t="n">
        <f aca="false">IF(OR(J120="",J119="",J119=0),"",J120/J119-1)</f>
        <v>0.0139727253833268</v>
      </c>
    </row>
    <row r="121" customFormat="false" ht="15" hidden="false" customHeight="false" outlineLevel="0" collapsed="false">
      <c r="A121" s="33" t="n">
        <v>46052</v>
      </c>
      <c r="B121" s="34" t="n">
        <v>691.969970703125</v>
      </c>
      <c r="C121" s="34" t="n">
        <v>259.480010986328</v>
      </c>
      <c r="D121" s="34" t="n">
        <v>430.290008544922</v>
      </c>
      <c r="E121" s="34" t="n">
        <v>227.25</v>
      </c>
      <c r="F121" s="34" t="n">
        <v>305.890014648438</v>
      </c>
      <c r="G121" s="34" t="n">
        <v>87.9000015258789</v>
      </c>
      <c r="H121" s="34" t="n">
        <v>87.129997253418</v>
      </c>
      <c r="I121" s="34" t="n">
        <v>444.950012207031</v>
      </c>
      <c r="J121" s="34" t="n">
        <v>90.8000030517578</v>
      </c>
      <c r="L121" s="35" t="n">
        <f aca="false">IF(COUNT(N121:V121)&lt;9,"",SUMPRODUCT($B$12:$J$12,N121:V121))</f>
        <v>-0.0120463105017199</v>
      </c>
      <c r="N121" s="35" t="n">
        <f aca="false">IF(OR(B121="",B120="",B120=0),"",B121/B120-1)</f>
        <v>-0.00298254767701212</v>
      </c>
      <c r="O121" s="35" t="n">
        <f aca="false">IF(OR(C121="",C120="",C120=0),"",C121/C120-1)</f>
        <v>0.00464616777413118</v>
      </c>
      <c r="P121" s="35" t="n">
        <f aca="false">IF(OR(D121="",D120="",D120=0),"",D121/D120-1)</f>
        <v>-0.00740482457918801</v>
      </c>
      <c r="Q121" s="35" t="n">
        <f aca="false">IF(OR(E121="",E120="",E120=0),"",E121/E120-1)</f>
        <v>-0.000175957091444245</v>
      </c>
      <c r="R121" s="35" t="n">
        <f aca="false">IF(OR(F121="",F120="",F120=0),"",F121/F120-1)</f>
        <v>-0.00172964805192455</v>
      </c>
      <c r="S121" s="35" t="n">
        <f aca="false">IF(OR(G121="",G120="",G120=0),"",G121/G120-1)</f>
        <v>-0.00317530934824062</v>
      </c>
      <c r="T121" s="35" t="n">
        <f aca="false">IF(OR(H121="",H120="",H120=0),"",H121/H120-1)</f>
        <v>-0.00559239303588266</v>
      </c>
      <c r="U121" s="35" t="n">
        <f aca="false">IF(OR(I121="",I120="",I120=0),"",I121/I120-1)</f>
        <v>-0.1027424527456</v>
      </c>
      <c r="V121" s="35" t="n">
        <f aca="false">IF(OR(J121="",J120="",J120=0),"",J121/J120-1)</f>
        <v>0.000992216604492446</v>
      </c>
    </row>
    <row r="122" customFormat="false" ht="15" hidden="false" customHeight="false" outlineLevel="0" collapsed="false">
      <c r="A122" s="33" t="n">
        <v>46055</v>
      </c>
      <c r="B122" s="34" t="n">
        <v>695.409973144531</v>
      </c>
      <c r="C122" s="34" t="n">
        <v>270.010009765625</v>
      </c>
      <c r="D122" s="34" t="n">
        <v>423.369995117188</v>
      </c>
      <c r="E122" s="34" t="n">
        <v>230.75</v>
      </c>
      <c r="F122" s="34" t="n">
        <v>308.140014648438</v>
      </c>
      <c r="G122" s="34" t="n">
        <v>86.3300018310547</v>
      </c>
      <c r="H122" s="34" t="n">
        <v>86.5500030517578</v>
      </c>
      <c r="I122" s="34" t="n">
        <v>427.130004882813</v>
      </c>
      <c r="J122" s="34" t="n">
        <v>89.8600006103516</v>
      </c>
      <c r="L122" s="35" t="n">
        <f aca="false">IF(COUNT(N122:V122)&lt;9,"",SUMPRODUCT($B$12:$J$12,N122:V122))</f>
        <v>0.00161253895467347</v>
      </c>
      <c r="N122" s="35" t="n">
        <f aca="false">IF(OR(B122="",B121="",B121=0),"",B122/B121-1)</f>
        <v>0.00497131752395341</v>
      </c>
      <c r="O122" s="35" t="n">
        <f aca="false">IF(OR(C122="",C121="",C121=0),"",C122/C121-1)</f>
        <v>0.0405811559020313</v>
      </c>
      <c r="P122" s="35" t="n">
        <f aca="false">IF(OR(D122="",D121="",D121=0),"",D122/D121-1)</f>
        <v>-0.0160822080232234</v>
      </c>
      <c r="Q122" s="35" t="n">
        <f aca="false">IF(OR(E122="",E121="",E121=0),"",E122/E121-1)</f>
        <v>0.0154015401540153</v>
      </c>
      <c r="R122" s="35" t="n">
        <f aca="false">IF(OR(F122="",F121="",F121=0),"",F122/F121-1)</f>
        <v>0.00735558498889199</v>
      </c>
      <c r="S122" s="35" t="n">
        <f aca="false">IF(OR(G122="",G121="",G121=0),"",G122/G121-1)</f>
        <v>-0.0178612021339041</v>
      </c>
      <c r="T122" s="35" t="n">
        <f aca="false">IF(OR(H122="",H121="",H121=0),"",H122/H121-1)</f>
        <v>-0.00665665350560363</v>
      </c>
      <c r="U122" s="35" t="n">
        <f aca="false">IF(OR(I122="",I121="",I121=0),"",I122/I121-1)</f>
        <v>-0.0400494591197506</v>
      </c>
      <c r="V122" s="35" t="n">
        <f aca="false">IF(OR(J122="",J121="",J121=0),"",J122/J121-1)</f>
        <v>-0.01035244944728</v>
      </c>
    </row>
    <row r="123" customFormat="false" ht="15" hidden="false" customHeight="false" outlineLevel="0" collapsed="false">
      <c r="A123" s="33" t="n">
        <v>46056</v>
      </c>
      <c r="B123" s="34" t="n">
        <v>689.530029296875</v>
      </c>
      <c r="C123" s="34" t="n">
        <v>269.480010986328</v>
      </c>
      <c r="D123" s="34" t="n">
        <v>411.209991455078</v>
      </c>
      <c r="E123" s="34" t="n">
        <v>233.100006103516</v>
      </c>
      <c r="F123" s="34" t="n">
        <v>314.850006103516</v>
      </c>
      <c r="G123" s="34" t="n">
        <v>88.8199996948242</v>
      </c>
      <c r="H123" s="34" t="n">
        <v>86.7600021362305</v>
      </c>
      <c r="I123" s="34" t="n">
        <v>454.290008544922</v>
      </c>
      <c r="J123" s="34" t="n">
        <v>89.6600036621094</v>
      </c>
      <c r="L123" s="35" t="n">
        <f aca="false">IF(COUNT(N123:V123)&lt;9,"",SUMPRODUCT($B$12:$J$12,N123:V123))</f>
        <v>0.00524603048072943</v>
      </c>
      <c r="N123" s="35" t="n">
        <f aca="false">IF(OR(B123="",B122="",B122=0),"",B123/B122-1)</f>
        <v>-0.00845536313071249</v>
      </c>
      <c r="O123" s="35" t="n">
        <f aca="false">IF(OR(C123="",C122="",C122=0),"",C123/C122-1)</f>
        <v>-0.00196288567137581</v>
      </c>
      <c r="P123" s="35" t="n">
        <f aca="false">IF(OR(D123="",D122="",D122=0),"",D123/D122-1)</f>
        <v>-0.0287219307044755</v>
      </c>
      <c r="Q123" s="35" t="n">
        <f aca="false">IF(OR(E123="",E122="",E122=0),"",E123/E122-1)</f>
        <v>0.0101842084659414</v>
      </c>
      <c r="R123" s="35" t="n">
        <f aca="false">IF(OR(F123="",F122="",F122=0),"",F123/F122-1)</f>
        <v>0.021775787421616</v>
      </c>
      <c r="S123" s="35" t="n">
        <f aca="false">IF(OR(G123="",G122="",G122=0),"",G123/G122-1)</f>
        <v>0.0288427871071097</v>
      </c>
      <c r="T123" s="35" t="n">
        <f aca="false">IF(OR(H123="",H122="",H122=0),"",H123/H122-1)</f>
        <v>0.00242633249067725</v>
      </c>
      <c r="U123" s="35" t="n">
        <f aca="false">IF(OR(I123="",I122="",I122=0),"",I123/I122-1)</f>
        <v>0.0635872061237199</v>
      </c>
      <c r="V123" s="35" t="n">
        <f aca="false">IF(OR(J123="",J122="",J122=0),"",J123/J122-1)</f>
        <v>-0.00222565042158662</v>
      </c>
    </row>
    <row r="124" customFormat="false" ht="15" hidden="false" customHeight="false" outlineLevel="0" collapsed="false">
      <c r="A124" s="33" t="n">
        <v>46057</v>
      </c>
      <c r="B124" s="34" t="n">
        <v>686.190002441406</v>
      </c>
      <c r="C124" s="34" t="n">
        <v>276.489990234375</v>
      </c>
      <c r="D124" s="34" t="n">
        <v>414.190002441406</v>
      </c>
      <c r="E124" s="34" t="n">
        <v>234.470001220703</v>
      </c>
      <c r="F124" s="34" t="n">
        <v>317.269989013672</v>
      </c>
      <c r="G124" s="34" t="n">
        <v>89.9700012207031</v>
      </c>
      <c r="H124" s="34" t="n">
        <v>86.5400009155273</v>
      </c>
      <c r="I124" s="34" t="n">
        <v>453.970001220703</v>
      </c>
      <c r="J124" s="34" t="n">
        <v>90.9499969482422</v>
      </c>
      <c r="L124" s="35" t="n">
        <f aca="false">IF(COUNT(N124:V124)&lt;9,"",SUMPRODUCT($B$12:$J$12,N124:V124))</f>
        <v>0.00682235573503014</v>
      </c>
      <c r="N124" s="35" t="n">
        <f aca="false">IF(OR(B124="",B123="",B123=0),"",B124/B123-1)</f>
        <v>-0.004843917905758</v>
      </c>
      <c r="O124" s="35" t="n">
        <f aca="false">IF(OR(C124="",C123="",C123=0),"",C124/C123-1)</f>
        <v>0.0260129841259456</v>
      </c>
      <c r="P124" s="35" t="n">
        <f aca="false">IF(OR(D124="",D123="",D123=0),"",D124/D123-1)</f>
        <v>0.00724693234175367</v>
      </c>
      <c r="Q124" s="35" t="n">
        <f aca="false">IF(OR(E124="",E123="",E123=0),"",E124/E123-1)</f>
        <v>0.0058772847761257</v>
      </c>
      <c r="R124" s="35" t="n">
        <f aca="false">IF(OR(F124="",F123="",F123=0),"",F124/F123-1)</f>
        <v>0.00768614534935197</v>
      </c>
      <c r="S124" s="35" t="n">
        <f aca="false">IF(OR(G124="",G123="",G123=0),"",G124/G123-1)</f>
        <v>0.0129475515630508</v>
      </c>
      <c r="T124" s="35" t="n">
        <f aca="false">IF(OR(H124="",H123="",H123=0),"",H124/H123-1)</f>
        <v>-0.00253574475894725</v>
      </c>
      <c r="U124" s="35" t="n">
        <f aca="false">IF(OR(I124="",I123="",I123=0),"",I124/I123-1)</f>
        <v>-0.000704411979572162</v>
      </c>
      <c r="V124" s="35" t="n">
        <f aca="false">IF(OR(J124="",J123="",J123=0),"",J124/J123-1)</f>
        <v>0.0143876113478005</v>
      </c>
    </row>
    <row r="125" customFormat="false" ht="15" hidden="false" customHeight="false" outlineLevel="0" collapsed="false">
      <c r="A125" s="33" t="n">
        <v>46058</v>
      </c>
      <c r="B125" s="34" t="n">
        <v>677.619995117188</v>
      </c>
      <c r="C125" s="34" t="n">
        <v>275.910003662109</v>
      </c>
      <c r="D125" s="34" t="n">
        <v>393.670013427734</v>
      </c>
      <c r="E125" s="34" t="n">
        <v>237.789993286133</v>
      </c>
      <c r="F125" s="34" t="n">
        <v>310.160003662109</v>
      </c>
      <c r="G125" s="34" t="n">
        <v>89.2099990844727</v>
      </c>
      <c r="H125" s="34" t="n">
        <v>87.4800033569336</v>
      </c>
      <c r="I125" s="34" t="n">
        <v>441.880004882813</v>
      </c>
      <c r="J125" s="34" t="n">
        <v>90.8199996948242</v>
      </c>
      <c r="L125" s="35" t="n">
        <f aca="false">IF(COUNT(N125:V125)&lt;9,"",SUMPRODUCT($B$12:$J$12,N125:V125))</f>
        <v>-0.0115939789062871</v>
      </c>
      <c r="N125" s="35" t="n">
        <f aca="false">IF(OR(B125="",B124="",B124=0),"",B125/B124-1)</f>
        <v>-0.0124892628772304</v>
      </c>
      <c r="O125" s="35" t="n">
        <f aca="false">IF(OR(C125="",C124="",C124=0),"",C125/C124-1)</f>
        <v>-0.00209767656244764</v>
      </c>
      <c r="P125" s="35" t="n">
        <f aca="false">IF(OR(D125="",D124="",D124=0),"",D125/D124-1)</f>
        <v>-0.0495424536872421</v>
      </c>
      <c r="Q125" s="35" t="n">
        <f aca="false">IF(OR(E125="",E124="",E124=0),"",E125/E124-1)</f>
        <v>0.0141595600637412</v>
      </c>
      <c r="R125" s="35" t="n">
        <f aca="false">IF(OR(F125="",F124="",F124=0),"",F125/F124-1)</f>
        <v>-0.0224098893616334</v>
      </c>
      <c r="S125" s="35" t="n">
        <f aca="false">IF(OR(G125="",G124="",G124=0),"",G125/G124-1)</f>
        <v>-0.00844728382703985</v>
      </c>
      <c r="T125" s="35" t="n">
        <f aca="false">IF(OR(H125="",H124="",H124=0),"",H125/H124-1)</f>
        <v>0.0108620572158746</v>
      </c>
      <c r="U125" s="35" t="n">
        <f aca="false">IF(OR(I125="",I124="",I124=0),"",I125/I124-1)</f>
        <v>-0.0266317076136762</v>
      </c>
      <c r="V125" s="35" t="n">
        <f aca="false">IF(OR(J125="",J124="",J124=0),"",J125/J124-1)</f>
        <v>-0.00142932663859219</v>
      </c>
    </row>
    <row r="126" customFormat="false" ht="15" hidden="false" customHeight="false" outlineLevel="0" collapsed="false">
      <c r="A126" s="33" t="n">
        <v>46059</v>
      </c>
      <c r="B126" s="34" t="n">
        <v>690.619995117188</v>
      </c>
      <c r="C126" s="34" t="n">
        <v>278.119995117188</v>
      </c>
      <c r="D126" s="34" t="n">
        <v>401.140014648438</v>
      </c>
      <c r="E126" s="34" t="n">
        <v>239.990005493164</v>
      </c>
      <c r="F126" s="34" t="n">
        <v>322.399993896484</v>
      </c>
      <c r="G126" s="34" t="n">
        <v>89.4700012207031</v>
      </c>
      <c r="H126" s="34" t="n">
        <v>87.5400009155273</v>
      </c>
      <c r="I126" s="34" t="n">
        <v>455.459991455078</v>
      </c>
      <c r="J126" s="34" t="n">
        <v>92.25</v>
      </c>
      <c r="L126" s="35" t="n">
        <f aca="false">IF(COUNT(N126:V126)&lt;9,"",SUMPRODUCT($B$12:$J$12,N126:V126))</f>
        <v>0.0164320925508479</v>
      </c>
      <c r="N126" s="35" t="n">
        <f aca="false">IF(OR(B126="",B125="",B125=0),"",B126/B125-1)</f>
        <v>0.0191847939754961</v>
      </c>
      <c r="O126" s="35" t="n">
        <f aca="false">IF(OR(C126="",C125="",C125=0),"",C126/C125-1)</f>
        <v>0.00800982721085197</v>
      </c>
      <c r="P126" s="35" t="n">
        <f aca="false">IF(OR(D126="",D125="",D125=0),"",D126/D125-1)</f>
        <v>0.018975286320799</v>
      </c>
      <c r="Q126" s="35" t="n">
        <f aca="false">IF(OR(E126="",E125="",E125=0),"",E126/E125-1)</f>
        <v>0.00925191248222013</v>
      </c>
      <c r="R126" s="35" t="n">
        <f aca="false">IF(OR(F126="",F125="",F125=0),"",F126/F125-1)</f>
        <v>0.0394634707565626</v>
      </c>
      <c r="S126" s="35" t="n">
        <f aca="false">IF(OR(G126="",G125="",G125=0),"",G126/G125-1)</f>
        <v>0.00291449544780509</v>
      </c>
      <c r="T126" s="35" t="n">
        <f aca="false">IF(OR(H126="",H125="",H125=0),"",H126/H125-1)</f>
        <v>0.00068584312175779</v>
      </c>
      <c r="U126" s="35" t="n">
        <f aca="false">IF(OR(I126="",I125="",I125=0),"",I126/I125-1)</f>
        <v>0.0307322947909046</v>
      </c>
      <c r="V126" s="35" t="n">
        <f aca="false">IF(OR(J126="",J125="",J125=0),"",J126/J125-1)</f>
        <v>0.0157454339350465</v>
      </c>
    </row>
    <row r="127" customFormat="false" ht="15" hidden="false" customHeight="false" outlineLevel="0" collapsed="false">
      <c r="A127" s="33" t="n">
        <v>46062</v>
      </c>
      <c r="B127" s="34" t="n">
        <v>693.950012207031</v>
      </c>
      <c r="C127" s="34" t="n">
        <v>274.619995117188</v>
      </c>
      <c r="D127" s="34" t="n">
        <v>413.600006103516</v>
      </c>
      <c r="E127" s="34" t="n">
        <v>238.639999389648</v>
      </c>
      <c r="F127" s="34" t="n">
        <v>322.100006103516</v>
      </c>
      <c r="G127" s="34" t="n">
        <v>89.4800033569336</v>
      </c>
      <c r="H127" s="34" t="n">
        <v>87.5199966430664</v>
      </c>
      <c r="I127" s="34" t="n">
        <v>467.029998779297</v>
      </c>
      <c r="J127" s="34" t="n">
        <v>92.6399993896484</v>
      </c>
      <c r="L127" s="35" t="n">
        <f aca="false">IF(COUNT(N127:V127)&lt;9,"",SUMPRODUCT($B$12:$J$12,N127:V127))</f>
        <v>0.00498107203355325</v>
      </c>
      <c r="N127" s="35" t="n">
        <f aca="false">IF(OR(B127="",B126="",B126=0),"",B127/B126-1)</f>
        <v>0.00482177914538662</v>
      </c>
      <c r="O127" s="35" t="n">
        <f aca="false">IF(OR(C127="",C126="",C126=0),"",C127/C126-1)</f>
        <v>-0.0125844961219895</v>
      </c>
      <c r="P127" s="35" t="n">
        <f aca="false">IF(OR(D127="",D126="",D126=0),"",D127/D126-1)</f>
        <v>0.0310614523609618</v>
      </c>
      <c r="Q127" s="35" t="n">
        <f aca="false">IF(OR(E127="",E126="",E126=0),"",E127/E126-1)</f>
        <v>-0.00562525968838501</v>
      </c>
      <c r="R127" s="35" t="n">
        <f aca="false">IF(OR(F127="",F126="",F126=0),"",F127/F126-1)</f>
        <v>-0.000930483246424196</v>
      </c>
      <c r="S127" s="35" t="n">
        <f aca="false">IF(OR(G127="",G126="",G126=0),"",G127/G126-1)</f>
        <v>0.000111793183123154</v>
      </c>
      <c r="T127" s="35" t="n">
        <f aca="false">IF(OR(H127="",H126="",H126=0),"",H127/H126-1)</f>
        <v>-0.000228515789943873</v>
      </c>
      <c r="U127" s="35" t="n">
        <f aca="false">IF(OR(I127="",I126="",I126=0),"",I127/I126-1)</f>
        <v>0.0254029059440672</v>
      </c>
      <c r="V127" s="35" t="n">
        <f aca="false">IF(OR(J127="",J126="",J126=0),"",J127/J126-1)</f>
        <v>0.00422763566014517</v>
      </c>
    </row>
    <row r="128" customFormat="false" ht="15" hidden="false" customHeight="false" outlineLevel="0" collapsed="false">
      <c r="A128" s="33" t="n">
        <v>46063</v>
      </c>
      <c r="B128" s="34" t="n">
        <v>692.119995117188</v>
      </c>
      <c r="C128" s="34" t="n">
        <v>273.679992675781</v>
      </c>
      <c r="D128" s="34" t="n">
        <v>413.269989013672</v>
      </c>
      <c r="E128" s="34" t="n">
        <v>238.350006103516</v>
      </c>
      <c r="F128" s="34" t="n">
        <v>318.279998779297</v>
      </c>
      <c r="G128" s="34" t="n">
        <v>90.8300018310547</v>
      </c>
      <c r="H128" s="34" t="n">
        <v>88.5299987792969</v>
      </c>
      <c r="I128" s="34" t="n">
        <v>462.399993896484</v>
      </c>
      <c r="J128" s="34" t="n">
        <v>93.879997253418</v>
      </c>
      <c r="L128" s="35" t="n">
        <f aca="false">IF(COUNT(N128:V128)&lt;9,"",SUMPRODUCT($B$12:$J$12,N128:V128))</f>
        <v>-0.000576646189229083</v>
      </c>
      <c r="N128" s="35" t="n">
        <f aca="false">IF(OR(B128="",B127="",B127=0),"",B128/B127-1)</f>
        <v>-0.00263710217977076</v>
      </c>
      <c r="O128" s="35" t="n">
        <f aca="false">IF(OR(C128="",C127="",C127=0),"",C128/C127-1)</f>
        <v>-0.00342292061073657</v>
      </c>
      <c r="P128" s="35" t="n">
        <f aca="false">IF(OR(D128="",D127="",D127=0),"",D128/D127-1)</f>
        <v>-0.000797913648389659</v>
      </c>
      <c r="Q128" s="35" t="n">
        <f aca="false">IF(OR(E128="",E127="",E127=0),"",E128/E127-1)</f>
        <v>-0.00121519144683924</v>
      </c>
      <c r="R128" s="35" t="n">
        <f aca="false">IF(OR(F128="",F127="",F127=0),"",F128/F127-1)</f>
        <v>-0.0118596934238845</v>
      </c>
      <c r="S128" s="35" t="n">
        <f aca="false">IF(OR(G128="",G127="",G127=0),"",G128/G127-1)</f>
        <v>0.0150871526986427</v>
      </c>
      <c r="T128" s="35" t="n">
        <f aca="false">IF(OR(H128="",H127="",H127=0),"",H128/H127-1)</f>
        <v>0.0115402442295514</v>
      </c>
      <c r="U128" s="35" t="n">
        <f aca="false">IF(OR(I128="",I127="",I127=0),"",I128/I127-1)</f>
        <v>-0.00991372052098305</v>
      </c>
      <c r="V128" s="35" t="n">
        <f aca="false">IF(OR(J128="",J127="",J127=0),"",J128/J127-1)</f>
        <v>0.013385123833541</v>
      </c>
    </row>
    <row r="129" customFormat="false" ht="15" hidden="false" customHeight="false" outlineLevel="0" collapsed="false">
      <c r="A129" s="33" t="n">
        <v>46064</v>
      </c>
      <c r="B129" s="34" t="n">
        <v>691.960021972656</v>
      </c>
      <c r="C129" s="34" t="n">
        <v>275.5</v>
      </c>
      <c r="D129" s="34" t="n">
        <v>404.369995117188</v>
      </c>
      <c r="E129" s="34" t="n">
        <v>240.860000610352</v>
      </c>
      <c r="F129" s="34" t="n">
        <v>310.820007324219</v>
      </c>
      <c r="G129" s="34" t="n">
        <v>91.3600006103516</v>
      </c>
      <c r="H129" s="34" t="n">
        <v>88.0599975585938</v>
      </c>
      <c r="I129" s="34" t="n">
        <v>467.630004882813</v>
      </c>
      <c r="J129" s="34" t="n">
        <v>93.3600006103516</v>
      </c>
      <c r="L129" s="35" t="n">
        <f aca="false">IF(COUNT(N129:V129)&lt;9,"",SUMPRODUCT($B$12:$J$12,N129:V129))</f>
        <v>-0.00222891681059134</v>
      </c>
      <c r="N129" s="35" t="n">
        <f aca="false">IF(OR(B129="",B128="",B128=0),"",B129/B128-1)</f>
        <v>-0.00023113498477223</v>
      </c>
      <c r="O129" s="35" t="n">
        <f aca="false">IF(OR(C129="",C128="",C128=0),"",C129/C128-1)</f>
        <v>0.00665012924921804</v>
      </c>
      <c r="P129" s="35" t="n">
        <f aca="false">IF(OR(D129="",D128="",D128=0),"",D129/D128-1)</f>
        <v>-0.0215355436714025</v>
      </c>
      <c r="Q129" s="35" t="n">
        <f aca="false">IF(OR(E129="",E128="",E128=0),"",E129/E128-1)</f>
        <v>0.0105307088003426</v>
      </c>
      <c r="R129" s="35" t="n">
        <f aca="false">IF(OR(F129="",F128="",F128=0),"",F129/F128-1)</f>
        <v>-0.0234384550825983</v>
      </c>
      <c r="S129" s="35" t="n">
        <f aca="false">IF(OR(G129="",G128="",G128=0),"",G129/G128-1)</f>
        <v>0.00583506295951319</v>
      </c>
      <c r="T129" s="35" t="n">
        <f aca="false">IF(OR(H129="",H128="",H128=0),"",H129/H128-1)</f>
        <v>-0.00530894868613741</v>
      </c>
      <c r="U129" s="35" t="n">
        <f aca="false">IF(OR(I129="",I128="",I128=0),"",I129/I128-1)</f>
        <v>0.0113105775418758</v>
      </c>
      <c r="V129" s="35" t="n">
        <f aca="false">IF(OR(J129="",J128="",J128=0),"",J129/J128-1)</f>
        <v>-0.00553895034383867</v>
      </c>
    </row>
    <row r="130" customFormat="false" ht="15" hidden="false" customHeight="false" outlineLevel="0" collapsed="false">
      <c r="A130" s="33" t="n">
        <v>46065</v>
      </c>
      <c r="B130" s="34" t="n">
        <v>681.27001953125</v>
      </c>
      <c r="C130" s="34" t="n">
        <v>261.730010986328</v>
      </c>
      <c r="D130" s="34" t="n">
        <v>401.839996337891</v>
      </c>
      <c r="E130" s="34" t="n">
        <v>244.550003051758</v>
      </c>
      <c r="F130" s="34" t="n">
        <v>302.640014648438</v>
      </c>
      <c r="G130" s="34" t="n">
        <v>91.9300003051758</v>
      </c>
      <c r="H130" s="34" t="n">
        <v>89.2300033569336</v>
      </c>
      <c r="I130" s="34" t="n">
        <v>451.390014648438</v>
      </c>
      <c r="J130" s="34" t="n">
        <v>93.25</v>
      </c>
      <c r="L130" s="35" t="n">
        <f aca="false">IF(COUNT(N130:V130)&lt;9,"",SUMPRODUCT($B$12:$J$12,N130:V130))</f>
        <v>-0.0147730379981934</v>
      </c>
      <c r="N130" s="35" t="n">
        <f aca="false">IF(OR(B130="",B129="",B129=0),"",B130/B129-1)</f>
        <v>-0.0154488729145518</v>
      </c>
      <c r="O130" s="35" t="n">
        <f aca="false">IF(OR(C130="",C129="",C129=0),"",C130/C129-1)</f>
        <v>-0.0499818113018947</v>
      </c>
      <c r="P130" s="35" t="n">
        <f aca="false">IF(OR(D130="",D129="",D129=0),"",D130/D129-1)</f>
        <v>-0.00625664319768282</v>
      </c>
      <c r="Q130" s="35" t="n">
        <f aca="false">IF(OR(E130="",E129="",E129=0),"",E130/E129-1)</f>
        <v>0.0153201130617593</v>
      </c>
      <c r="R130" s="35" t="n">
        <f aca="false">IF(OR(F130="",F129="",F129=0),"",F130/F129-1)</f>
        <v>-0.0263174586031341</v>
      </c>
      <c r="S130" s="35" t="n">
        <f aca="false">IF(OR(G130="",G129="",G129=0),"",G130/G129-1)</f>
        <v>0.00623905090867094</v>
      </c>
      <c r="T130" s="35" t="n">
        <f aca="false">IF(OR(H130="",H129="",H129=0),"",H130/H129-1)</f>
        <v>0.0132864618530257</v>
      </c>
      <c r="U130" s="35" t="n">
        <f aca="false">IF(OR(I130="",I129="",I129=0),"",I130/I129-1)</f>
        <v>-0.0347282895981935</v>
      </c>
      <c r="V130" s="35" t="n">
        <f aca="false">IF(OR(J130="",J129="",J129=0),"",J130/J129-1)</f>
        <v>-0.00117824131997069</v>
      </c>
    </row>
    <row r="131" customFormat="false" ht="15" hidden="false" customHeight="false" outlineLevel="0" collapsed="false">
      <c r="A131" s="33" t="n">
        <v>46066</v>
      </c>
      <c r="B131" s="34" t="n">
        <v>681.75</v>
      </c>
      <c r="C131" s="34" t="n">
        <v>255.779998779297</v>
      </c>
      <c r="D131" s="34" t="n">
        <v>401.320007324219</v>
      </c>
      <c r="E131" s="34" t="n">
        <v>243.449996948242</v>
      </c>
      <c r="F131" s="34" t="n">
        <v>302.549987792969</v>
      </c>
      <c r="G131" s="34" t="n">
        <v>93.8000030517578</v>
      </c>
      <c r="H131" s="34" t="n">
        <v>89.7200012207031</v>
      </c>
      <c r="I131" s="34" t="n">
        <v>462.619995117188</v>
      </c>
      <c r="J131" s="34" t="n">
        <v>94.5899963378906</v>
      </c>
      <c r="L131" s="35" t="n">
        <f aca="false">IF(COUNT(N131:V131)&lt;9,"",SUMPRODUCT($B$12:$J$12,N131:V131))</f>
        <v>0.000744619942530459</v>
      </c>
      <c r="N131" s="35" t="n">
        <f aca="false">IF(OR(B131="",B130="",B130=0),"",B131/B130-1)</f>
        <v>0.00070453778236157</v>
      </c>
      <c r="O131" s="35" t="n">
        <f aca="false">IF(OR(C131="",C130="",C130=0),"",C131/C130-1)</f>
        <v>-0.0227333968489454</v>
      </c>
      <c r="P131" s="35" t="n">
        <f aca="false">IF(OR(D131="",D130="",D130=0),"",D131/D130-1)</f>
        <v>-0.00129402005377988</v>
      </c>
      <c r="Q131" s="35" t="n">
        <f aca="false">IF(OR(E131="",E130="",E130=0),"",E131/E130-1)</f>
        <v>-0.0044980825589408</v>
      </c>
      <c r="R131" s="35" t="n">
        <f aca="false">IF(OR(F131="",F130="",F130=0),"",F131/F130-1)</f>
        <v>-0.000297471752285006</v>
      </c>
      <c r="S131" s="35" t="n">
        <f aca="false">IF(OR(G131="",G130="",G130=0),"",G131/G130-1)</f>
        <v>0.0203415940430136</v>
      </c>
      <c r="T131" s="35" t="n">
        <f aca="false">IF(OR(H131="",H130="",H130=0),"",H131/H130-1)</f>
        <v>0.00549140250291647</v>
      </c>
      <c r="U131" s="35" t="n">
        <f aca="false">IF(OR(I131="",I130="",I130=0),"",I131/I130-1)</f>
        <v>0.0248786639143899</v>
      </c>
      <c r="V131" s="35" t="n">
        <f aca="false">IF(OR(J131="",J130="",J130=0),"",J131/J130-1)</f>
        <v>0.0143699339183978</v>
      </c>
    </row>
    <row r="132" customFormat="false" ht="15" hidden="false" customHeight="false" outlineLevel="0" collapsed="false">
      <c r="A132" s="33" t="n">
        <v>46070</v>
      </c>
      <c r="B132" s="34" t="n">
        <v>682.849975585938</v>
      </c>
      <c r="C132" s="34" t="n">
        <v>263.880004882813</v>
      </c>
      <c r="D132" s="34" t="n">
        <v>396.859985351563</v>
      </c>
      <c r="E132" s="34" t="n">
        <v>243.330001831055</v>
      </c>
      <c r="F132" s="34" t="n">
        <v>307.130004882813</v>
      </c>
      <c r="G132" s="34" t="n">
        <v>92.7099990844727</v>
      </c>
      <c r="H132" s="34" t="n">
        <v>89.870002746582</v>
      </c>
      <c r="I132" s="34" t="n">
        <v>448.200012207031</v>
      </c>
      <c r="J132" s="34" t="n">
        <v>95.4899978637695</v>
      </c>
      <c r="L132" s="35" t="n">
        <f aca="false">IF(COUNT(N132:V132)&lt;9,"",SUMPRODUCT($B$12:$J$12,N132:V132))</f>
        <v>0.00263914739072115</v>
      </c>
      <c r="N132" s="35" t="n">
        <f aca="false">IF(OR(B132="",B131="",B131=0),"",B132/B131-1)</f>
        <v>0.00161345887192943</v>
      </c>
      <c r="O132" s="35" t="n">
        <f aca="false">IF(OR(C132="",C131="",C131=0),"",C132/C131-1)</f>
        <v>0.0316678635631131</v>
      </c>
      <c r="P132" s="35" t="n">
        <f aca="false">IF(OR(D132="",D131="",D131=0),"",D132/D131-1)</f>
        <v>-0.0111133805722594</v>
      </c>
      <c r="Q132" s="35" t="n">
        <f aca="false">IF(OR(E132="",E131="",E131=0),"",E132/E131-1)</f>
        <v>-0.000492894305570646</v>
      </c>
      <c r="R132" s="35" t="n">
        <f aca="false">IF(OR(F132="",F131="",F131=0),"",F132/F131-1)</f>
        <v>0.0151380508168393</v>
      </c>
      <c r="S132" s="35" t="n">
        <f aca="false">IF(OR(G132="",G131="",G131=0),"",G132/G131-1)</f>
        <v>-0.0116205110002358</v>
      </c>
      <c r="T132" s="35" t="n">
        <f aca="false">IF(OR(H132="",H131="",H131=0),"",H132/H131-1)</f>
        <v>0.0016718850182571</v>
      </c>
      <c r="U132" s="35" t="n">
        <f aca="false">IF(OR(I132="",I131="",I131=0),"",I132/I131-1)</f>
        <v>-0.0311702543391023</v>
      </c>
      <c r="V132" s="35" t="n">
        <f aca="false">IF(OR(J132="",J131="",J131=0),"",J132/J131-1)</f>
        <v>0.00951476435905496</v>
      </c>
    </row>
    <row r="133" customFormat="false" ht="15" hidden="false" customHeight="false" outlineLevel="0" collapsed="false">
      <c r="A133" s="33" t="n">
        <v>46071</v>
      </c>
      <c r="B133" s="34" t="n">
        <v>686.289978027344</v>
      </c>
      <c r="C133" s="34" t="n">
        <v>264.350006103516</v>
      </c>
      <c r="D133" s="34" t="n">
        <v>399.600006103516</v>
      </c>
      <c r="E133" s="34" t="n">
        <v>244.990005493164</v>
      </c>
      <c r="F133" s="34" t="n">
        <v>308.779998779297</v>
      </c>
      <c r="G133" s="34" t="n">
        <v>91.2200012207031</v>
      </c>
      <c r="H133" s="34" t="n">
        <v>89.5299987792969</v>
      </c>
      <c r="I133" s="34" t="n">
        <v>458.279998779297</v>
      </c>
      <c r="J133" s="34" t="n">
        <v>94.370002746582</v>
      </c>
      <c r="L133" s="35" t="n">
        <f aca="false">IF(COUNT(N133:V133)&lt;9,"",SUMPRODUCT($B$12:$J$12,N133:V133))</f>
        <v>0.00370898130990648</v>
      </c>
      <c r="N133" s="35" t="n">
        <f aca="false">IF(OR(B133="",B132="",B132=0),"",B133/B132-1)</f>
        <v>0.00503771335490533</v>
      </c>
      <c r="O133" s="35" t="n">
        <f aca="false">IF(OR(C133="",C132="",C132=0),"",C133/C132-1)</f>
        <v>0.00178111721997176</v>
      </c>
      <c r="P133" s="35" t="n">
        <f aca="false">IF(OR(D133="",D132="",D132=0),"",D133/D132-1)</f>
        <v>0.0069042504991419</v>
      </c>
      <c r="Q133" s="35" t="n">
        <f aca="false">IF(OR(E133="",E132="",E132=0),"",E133/E132-1)</f>
        <v>0.0068220262590617</v>
      </c>
      <c r="R133" s="35" t="n">
        <f aca="false">IF(OR(F133="",F132="",F132=0),"",F133/F132-1)</f>
        <v>0.0053722979528279</v>
      </c>
      <c r="S133" s="35" t="n">
        <f aca="false">IF(OR(G133="",G132="",G132=0),"",G133/G132-1)</f>
        <v>-0.0160715983009772</v>
      </c>
      <c r="T133" s="35" t="n">
        <f aca="false">IF(OR(H133="",H132="",H132=0),"",H133/H132-1)</f>
        <v>-0.00378328649041937</v>
      </c>
      <c r="U133" s="35" t="n">
        <f aca="false">IF(OR(I133="",I132="",I132=0),"",I133/I132-1)</f>
        <v>0.0224899292675831</v>
      </c>
      <c r="V133" s="35" t="n">
        <f aca="false">IF(OR(J133="",J132="",J132=0),"",J133/J132-1)</f>
        <v>-0.011728925984325</v>
      </c>
    </row>
    <row r="134" customFormat="false" ht="15" hidden="false" customHeight="false" outlineLevel="0" collapsed="false">
      <c r="A134" s="33" t="n">
        <v>46072</v>
      </c>
      <c r="B134" s="34" t="n">
        <v>684.47998046875</v>
      </c>
      <c r="C134" s="34" t="n">
        <v>260.579986572266</v>
      </c>
      <c r="D134" s="34" t="n">
        <v>398.459991455078</v>
      </c>
      <c r="E134" s="34" t="n">
        <v>246.910003662109</v>
      </c>
      <c r="F134" s="34" t="n">
        <v>308.049987792969</v>
      </c>
      <c r="G134" s="34" t="n">
        <v>91.6399993896484</v>
      </c>
      <c r="H134" s="34" t="n">
        <v>89.620002746582</v>
      </c>
      <c r="I134" s="34" t="n">
        <v>459.559997558594</v>
      </c>
      <c r="J134" s="34" t="n">
        <v>94.1699981689453</v>
      </c>
      <c r="L134" s="35" t="n">
        <f aca="false">IF(COUNT(N134:V134)&lt;9,"",SUMPRODUCT($B$12:$J$12,N134:V134))</f>
        <v>-0.00218341801118402</v>
      </c>
      <c r="N134" s="35" t="n">
        <f aca="false">IF(OR(B134="",B133="",B133=0),"",B134/B133-1)</f>
        <v>-0.00263736556928396</v>
      </c>
      <c r="O134" s="35" t="n">
        <f aca="false">IF(OR(C134="",C133="",C133=0),"",C134/C133-1)</f>
        <v>-0.0142614694314541</v>
      </c>
      <c r="P134" s="35" t="n">
        <f aca="false">IF(OR(D134="",D133="",D133=0),"",D134/D133-1)</f>
        <v>-0.00285288946703044</v>
      </c>
      <c r="Q134" s="35" t="n">
        <f aca="false">IF(OR(E134="",E133="",E133=0),"",E134/E133-1)</f>
        <v>0.00783704692393483</v>
      </c>
      <c r="R134" s="35" t="n">
        <f aca="false">IF(OR(F134="",F133="",F133=0),"",F134/F133-1)</f>
        <v>-0.00236417834449765</v>
      </c>
      <c r="S134" s="35" t="n">
        <f aca="false">IF(OR(G134="",G133="",G133=0),"",G134/G133-1)</f>
        <v>0.00460423331862425</v>
      </c>
      <c r="T134" s="35" t="n">
        <f aca="false">IF(OR(H134="",H133="",H133=0),"",H134/H133-1)</f>
        <v>0.00100529396305449</v>
      </c>
      <c r="U134" s="35" t="n">
        <f aca="false">IF(OR(I134="",I133="",I133=0),"",I134/I133-1)</f>
        <v>0.00279304962622517</v>
      </c>
      <c r="V134" s="35" t="n">
        <f aca="false">IF(OR(J134="",J133="",J133=0),"",J134/J133-1)</f>
        <v>-0.0021193660253862</v>
      </c>
    </row>
    <row r="135" customFormat="false" ht="15" hidden="false" customHeight="false" outlineLevel="0" collapsed="false">
      <c r="A135" s="33" t="n">
        <v>46073</v>
      </c>
      <c r="B135" s="34" t="n">
        <v>689.429992675781</v>
      </c>
      <c r="C135" s="34" t="n">
        <v>264.579986572266</v>
      </c>
      <c r="D135" s="34" t="n">
        <v>397.230010986328</v>
      </c>
      <c r="E135" s="34" t="n">
        <v>242.490005493164</v>
      </c>
      <c r="F135" s="34" t="n">
        <v>310.790008544922</v>
      </c>
      <c r="G135" s="34" t="n">
        <v>92.1800003051758</v>
      </c>
      <c r="H135" s="34" t="n">
        <v>89.4100036621094</v>
      </c>
      <c r="I135" s="34" t="n">
        <v>468.619995117188</v>
      </c>
      <c r="J135" s="34" t="n">
        <v>94.879997253418</v>
      </c>
      <c r="L135" s="35" t="n">
        <f aca="false">IF(COUNT(N135:V135)&lt;9,"",SUMPRODUCT($B$12:$J$12,N135:V135))</f>
        <v>0.00503703546488428</v>
      </c>
      <c r="N135" s="35" t="n">
        <f aca="false">IF(OR(B135="",B134="",B134=0),"",B135/B134-1)</f>
        <v>0.00723178522130197</v>
      </c>
      <c r="O135" s="35" t="n">
        <f aca="false">IF(OR(C135="",C134="",C134=0),"",C135/C134-1)</f>
        <v>0.0153503730375344</v>
      </c>
      <c r="P135" s="35" t="n">
        <f aca="false">IF(OR(D135="",D134="",D134=0),"",D135/D134-1)</f>
        <v>-0.00308683555470257</v>
      </c>
      <c r="Q135" s="35" t="n">
        <f aca="false">IF(OR(E135="",E134="",E134=0),"",E135/E134-1)</f>
        <v>-0.0179012518868764</v>
      </c>
      <c r="R135" s="35" t="n">
        <f aca="false">IF(OR(F135="",F134="",F134=0),"",F135/F134-1)</f>
        <v>0.00889472767580335</v>
      </c>
      <c r="S135" s="35" t="n">
        <f aca="false">IF(OR(G135="",G134="",G134=0),"",G135/G134-1)</f>
        <v>0.00589263333832357</v>
      </c>
      <c r="T135" s="35" t="n">
        <f aca="false">IF(OR(H135="",H134="",H134=0),"",H135/H134-1)</f>
        <v>-0.00234321667079629</v>
      </c>
      <c r="U135" s="35" t="n">
        <f aca="false">IF(OR(I135="",I134="",I134=0),"",I135/I134-1)</f>
        <v>0.0197145043231028</v>
      </c>
      <c r="V135" s="35" t="n">
        <f aca="false">IF(OR(J135="",J134="",J134=0),"",J135/J134-1)</f>
        <v>0.00753954654643763</v>
      </c>
    </row>
    <row r="136" customFormat="false" ht="15" hidden="false" customHeight="false" outlineLevel="0" collapsed="false">
      <c r="A136" s="33" t="n">
        <v>46076</v>
      </c>
      <c r="B136" s="34" t="n">
        <v>682.390014648438</v>
      </c>
      <c r="C136" s="34" t="n">
        <v>266.179992675781</v>
      </c>
      <c r="D136" s="34" t="n">
        <v>384.470001220703</v>
      </c>
      <c r="E136" s="34" t="n">
        <v>245.839996337891</v>
      </c>
      <c r="F136" s="34" t="n">
        <v>297.670013427734</v>
      </c>
      <c r="G136" s="34" t="n">
        <v>94.0599975585938</v>
      </c>
      <c r="H136" s="34" t="n">
        <v>89.7399978637695</v>
      </c>
      <c r="I136" s="34" t="n">
        <v>481.279998779297</v>
      </c>
      <c r="J136" s="34" t="n">
        <v>94.8899993896484</v>
      </c>
      <c r="L136" s="35" t="n">
        <f aca="false">IF(COUNT(N136:V136)&lt;9,"",SUMPRODUCT($B$12:$J$12,N136:V136))</f>
        <v>-0.00338569399533641</v>
      </c>
      <c r="N136" s="35" t="n">
        <f aca="false">IF(OR(B136="",B135="",B135=0),"",B136/B135-1)</f>
        <v>-0.0102113022382735</v>
      </c>
      <c r="O136" s="35" t="n">
        <f aca="false">IF(OR(C136="",C135="",C135=0),"",C136/C135-1)</f>
        <v>0.00604734365680359</v>
      </c>
      <c r="P136" s="35" t="n">
        <f aca="false">IF(OR(D136="",D135="",D135=0),"",D136/D135-1)</f>
        <v>-0.0321224716479546</v>
      </c>
      <c r="Q136" s="35" t="n">
        <f aca="false">IF(OR(E136="",E135="",E135=0),"",E136/E135-1)</f>
        <v>0.0138149646123102</v>
      </c>
      <c r="R136" s="35" t="n">
        <f aca="false">IF(OR(F136="",F135="",F135=0),"",F136/F135-1)</f>
        <v>-0.0422149836110051</v>
      </c>
      <c r="S136" s="35" t="n">
        <f aca="false">IF(OR(G136="",G135="",G135=0),"",G136/G135-1)</f>
        <v>0.0203948497200477</v>
      </c>
      <c r="T136" s="35" t="n">
        <f aca="false">IF(OR(H136="",H135="",H135=0),"",H136/H135-1)</f>
        <v>0.00369079731734701</v>
      </c>
      <c r="U136" s="35" t="n">
        <f aca="false">IF(OR(I136="",I135="",I135=0),"",I136/I135-1)</f>
        <v>0.0270155003926862</v>
      </c>
      <c r="V136" s="35" t="n">
        <f aca="false">IF(OR(J136="",J135="",J135=0),"",J136/J135-1)</f>
        <v>0.000105418808178159</v>
      </c>
    </row>
    <row r="137" customFormat="false" ht="15" hidden="false" customHeight="false" outlineLevel="0" collapsed="false">
      <c r="A137" s="33" t="n">
        <v>46077</v>
      </c>
      <c r="B137" s="34" t="n">
        <v>687.349975585938</v>
      </c>
      <c r="C137" s="34" t="n">
        <v>272.140014648438</v>
      </c>
      <c r="D137" s="34" t="n">
        <v>389</v>
      </c>
      <c r="E137" s="34" t="n">
        <v>246.279998779297</v>
      </c>
      <c r="F137" s="34" t="n">
        <v>297.299987792969</v>
      </c>
      <c r="G137" s="34" t="n">
        <v>95.6800003051758</v>
      </c>
      <c r="H137" s="34" t="n">
        <v>89.9000015258789</v>
      </c>
      <c r="I137" s="34" t="n">
        <v>474.609985351563</v>
      </c>
      <c r="J137" s="34" t="n">
        <v>95.129997253418</v>
      </c>
      <c r="L137" s="35" t="n">
        <f aca="false">IF(COUNT(N137:V137)&lt;9,"",SUMPRODUCT($B$12:$J$12,N137:V137))</f>
        <v>0.00633427285529089</v>
      </c>
      <c r="N137" s="35" t="n">
        <f aca="false">IF(OR(B137="",B136="",B136=0),"",B137/B136-1)</f>
        <v>0.00726851335897005</v>
      </c>
      <c r="O137" s="35" t="n">
        <f aca="false">IF(OR(C137="",C136="",C136=0),"",C137/C136-1)</f>
        <v>0.0223909464897933</v>
      </c>
      <c r="P137" s="35" t="n">
        <f aca="false">IF(OR(D137="",D136="",D136=0),"",D137/D136-1)</f>
        <v>0.0117824505550865</v>
      </c>
      <c r="Q137" s="35" t="n">
        <f aca="false">IF(OR(E137="",E136="",E136=0),"",E137/E136-1)</f>
        <v>0.00178979192954931</v>
      </c>
      <c r="R137" s="35" t="n">
        <f aca="false">IF(OR(F137="",F136="",F136=0),"",F137/F136-1)</f>
        <v>-0.00124307326258388</v>
      </c>
      <c r="S137" s="35" t="n">
        <f aca="false">IF(OR(G137="",G136="",G136=0),"",G137/G136-1)</f>
        <v>0.0172230787649428</v>
      </c>
      <c r="T137" s="35" t="n">
        <f aca="false">IF(OR(H137="",H136="",H136=0),"",H137/H136-1)</f>
        <v>0.00178296931043276</v>
      </c>
      <c r="U137" s="35" t="n">
        <f aca="false">IF(OR(I137="",I136="",I136=0),"",I137/I136-1)</f>
        <v>-0.0138589042649842</v>
      </c>
      <c r="V137" s="35" t="n">
        <f aca="false">IF(OR(J137="",J136="",J136=0),"",J137/J136-1)</f>
        <v>0.00252922189180427</v>
      </c>
    </row>
    <row r="138" customFormat="false" ht="15" hidden="false" customHeight="false" outlineLevel="0" collapsed="false">
      <c r="A138" s="33" t="n">
        <v>46078</v>
      </c>
      <c r="B138" s="34" t="n">
        <v>693.150024414063</v>
      </c>
      <c r="C138" s="34" t="n">
        <v>274.230010986328</v>
      </c>
      <c r="D138" s="34" t="n">
        <v>400.600006103516</v>
      </c>
      <c r="E138" s="34" t="n">
        <v>245.169998168945</v>
      </c>
      <c r="F138" s="34" t="n">
        <v>303.299987792969</v>
      </c>
      <c r="G138" s="34" t="n">
        <v>95.1100006103516</v>
      </c>
      <c r="H138" s="34" t="n">
        <v>89.9100036621094</v>
      </c>
      <c r="I138" s="34" t="n">
        <v>473.420013427734</v>
      </c>
      <c r="J138" s="34" t="n">
        <v>94.870002746582</v>
      </c>
      <c r="L138" s="35" t="n">
        <f aca="false">IF(COUNT(N138:V138)&lt;9,"",SUMPRODUCT($B$12:$J$12,N138:V138))</f>
        <v>0.00730982965466637</v>
      </c>
      <c r="N138" s="35" t="n">
        <f aca="false">IF(OR(B138="",B137="",B137=0),"",B138/B137-1)</f>
        <v>0.00843827603715375</v>
      </c>
      <c r="O138" s="35" t="n">
        <f aca="false">IF(OR(C138="",C137="",C137=0),"",C138/C137-1)</f>
        <v>0.00767985678471406</v>
      </c>
      <c r="P138" s="35" t="n">
        <f aca="false">IF(OR(D138="",D137="",D137=0),"",D138/D137-1)</f>
        <v>0.0298200671041542</v>
      </c>
      <c r="Q138" s="35" t="n">
        <f aca="false">IF(OR(E138="",E137="",E137=0),"",E138/E137-1)</f>
        <v>-0.00450706762974573</v>
      </c>
      <c r="R138" s="35" t="n">
        <f aca="false">IF(OR(F138="",F137="",F137=0),"",F138/F137-1)</f>
        <v>0.0201816355410624</v>
      </c>
      <c r="S138" s="35" t="n">
        <f aca="false">IF(OR(G138="",G137="",G137=0),"",G138/G137-1)</f>
        <v>-0.00595735465098402</v>
      </c>
      <c r="T138" s="35" t="n">
        <f aca="false">IF(OR(H138="",H137="",H137=0),"",H138/H137-1)</f>
        <v>0.000111258465636643</v>
      </c>
      <c r="U138" s="35" t="n">
        <f aca="false">IF(OR(I138="",I137="",I137=0),"",I138/I137-1)</f>
        <v>-0.00250726272214352</v>
      </c>
      <c r="V138" s="35" t="n">
        <f aca="false">IF(OR(J138="",J137="",J137=0),"",J138/J137-1)</f>
        <v>-0.00273304440599731</v>
      </c>
    </row>
    <row r="139" customFormat="false" ht="15" hidden="false" customHeight="false" outlineLevel="0" collapsed="false">
      <c r="A139" s="33" t="n">
        <v>46079</v>
      </c>
      <c r="B139" s="34" t="n">
        <v>689.299987792969</v>
      </c>
      <c r="C139" s="34" t="n">
        <v>272.950012207031</v>
      </c>
      <c r="D139" s="34" t="n">
        <v>401.720001220703</v>
      </c>
      <c r="E139" s="34" t="n">
        <v>243.470001220703</v>
      </c>
      <c r="F139" s="34" t="n">
        <v>306.130004882813</v>
      </c>
      <c r="G139" s="34" t="n">
        <v>91.9899978637695</v>
      </c>
      <c r="H139" s="34" t="n">
        <v>90.2699966430664</v>
      </c>
      <c r="I139" s="34" t="n">
        <v>477.480010986328</v>
      </c>
      <c r="J139" s="34" t="n">
        <v>95.5199966430664</v>
      </c>
      <c r="L139" s="35" t="n">
        <f aca="false">IF(COUNT(N139:V139)&lt;9,"",SUMPRODUCT($B$12:$J$12,N139:V139))</f>
        <v>-0.00096827170686383</v>
      </c>
      <c r="N139" s="35" t="n">
        <f aca="false">IF(OR(B139="",B138="",B138=0),"",B139/B138-1)</f>
        <v>-0.00555440595179735</v>
      </c>
      <c r="O139" s="35" t="n">
        <f aca="false">IF(OR(C139="",C138="",C138=0),"",C139/C138-1)</f>
        <v>-0.00466761013753814</v>
      </c>
      <c r="P139" s="35" t="n">
        <f aca="false">IF(OR(D139="",D138="",D138=0),"",D139/D138-1)</f>
        <v>0.00279579405921826</v>
      </c>
      <c r="Q139" s="35" t="n">
        <f aca="false">IF(OR(E139="",E138="",E138=0),"",E139/E138-1)</f>
        <v>-0.00693395179238254</v>
      </c>
      <c r="R139" s="35" t="n">
        <f aca="false">IF(OR(F139="",F138="",F138=0),"",F139/F138-1)</f>
        <v>0.00933075240271952</v>
      </c>
      <c r="S139" s="35" t="n">
        <f aca="false">IF(OR(G139="",G138="",G138=0),"",G139/G138-1)</f>
        <v>-0.0328041502109141</v>
      </c>
      <c r="T139" s="35" t="n">
        <f aca="false">IF(OR(H139="",H138="",H138=0),"",H139/H138-1)</f>
        <v>0.00400392577348674</v>
      </c>
      <c r="U139" s="35" t="n">
        <f aca="false">IF(OR(I139="",I138="",I138=0),"",I139/I138-1)</f>
        <v>0.00857588915432239</v>
      </c>
      <c r="V139" s="35" t="n">
        <f aca="false">IF(OR(J139="",J138="",J138=0),"",J139/J138-1)</f>
        <v>0.00685141644003817</v>
      </c>
    </row>
    <row r="140" customFormat="false" ht="15" hidden="false" customHeight="false" outlineLevel="0" collapsed="false">
      <c r="A140" s="33" t="n">
        <v>46080</v>
      </c>
      <c r="B140" s="34" t="n">
        <v>685.989990234375</v>
      </c>
      <c r="C140" s="34" t="n">
        <v>264.179992675781</v>
      </c>
      <c r="D140" s="34" t="n">
        <v>392.739990234375</v>
      </c>
      <c r="E140" s="34" t="n">
        <v>248.429992675781</v>
      </c>
      <c r="F140" s="34" t="n">
        <v>300.299987792969</v>
      </c>
      <c r="G140" s="34" t="n">
        <v>93.7699966430664</v>
      </c>
      <c r="H140" s="34" t="n">
        <v>90.8199996948242</v>
      </c>
      <c r="I140" s="34" t="n">
        <v>483.75</v>
      </c>
      <c r="J140" s="34" t="n">
        <v>95.6900024414063</v>
      </c>
      <c r="L140" s="35" t="n">
        <f aca="false">IF(COUNT(N140:V140)&lt;9,"",SUMPRODUCT($B$12:$J$12,N140:V140))</f>
        <v>-0.0057064661851777</v>
      </c>
      <c r="N140" s="35" t="n">
        <f aca="false">IF(OR(B140="",B139="",B139=0),"",B140/B139-1)</f>
        <v>-0.00480196955928014</v>
      </c>
      <c r="O140" s="35" t="n">
        <f aca="false">IF(OR(C140="",C139="",C139=0),"",C140/C139-1)</f>
        <v>-0.0321304969372853</v>
      </c>
      <c r="P140" s="35" t="n">
        <f aca="false">IF(OR(D140="",D139="",D139=0),"",D140/D139-1)</f>
        <v>-0.0223539056035063</v>
      </c>
      <c r="Q140" s="35" t="n">
        <f aca="false">IF(OR(E140="",E139="",E139=0),"",E140/E139-1)</f>
        <v>0.0203720845698021</v>
      </c>
      <c r="R140" s="35" t="n">
        <f aca="false">IF(OR(F140="",F139="",F139=0),"",F140/F139-1)</f>
        <v>-0.0190442524314981</v>
      </c>
      <c r="S140" s="35" t="n">
        <f aca="false">IF(OR(G140="",G139="",G139=0),"",G140/G139-1)</f>
        <v>0.0193499165195432</v>
      </c>
      <c r="T140" s="35" t="n">
        <f aca="false">IF(OR(H140="",H139="",H139=0),"",H140/H139-1)</f>
        <v>0.00609286664685005</v>
      </c>
      <c r="U140" s="35" t="n">
        <f aca="false">IF(OR(I140="",I139="",I139=0),"",I140/I139-1)</f>
        <v>0.0131314167491956</v>
      </c>
      <c r="V140" s="35" t="n">
        <f aca="false">IF(OR(J140="",J139="",J139=0),"",J140/J139-1)</f>
        <v>0.00177979275873685</v>
      </c>
    </row>
    <row r="141" customFormat="false" ht="15" hidden="false" customHeight="false" outlineLevel="0" collapsed="false">
      <c r="A141" s="33" t="n">
        <v>46083</v>
      </c>
      <c r="B141" s="34" t="n">
        <v>686.380004882813</v>
      </c>
      <c r="C141" s="34" t="n">
        <v>264.720001220703</v>
      </c>
      <c r="D141" s="34" t="n">
        <v>398.549987792969</v>
      </c>
      <c r="E141" s="34" t="n">
        <v>248.559997558594</v>
      </c>
      <c r="F141" s="34" t="n">
        <v>297.559997558594</v>
      </c>
      <c r="G141" s="34" t="n">
        <v>92.7099990844727</v>
      </c>
      <c r="H141" s="34" t="n">
        <v>89.6100006103516</v>
      </c>
      <c r="I141" s="34" t="n">
        <v>490</v>
      </c>
      <c r="J141" s="34" t="n">
        <v>95.9300003051758</v>
      </c>
      <c r="L141" s="35" t="n">
        <f aca="false">IF(COUNT(N141:V141)&lt;9,"",SUMPRODUCT($B$12:$J$12,N141:V141))</f>
        <v>0.00118208812406835</v>
      </c>
      <c r="N141" s="35" t="n">
        <f aca="false">IF(OR(B141="",B140="",B140=0),"",B141/B140-1)</f>
        <v>0.000568542768830671</v>
      </c>
      <c r="O141" s="35" t="n">
        <f aca="false">IF(OR(C141="",C140="",C140=0),"",C141/C140-1)</f>
        <v>0.00204409326933663</v>
      </c>
      <c r="P141" s="35" t="n">
        <f aca="false">IF(OR(D141="",D140="",D140=0),"",D141/D140-1)</f>
        <v>0.0147934962139373</v>
      </c>
      <c r="Q141" s="35" t="n">
        <f aca="false">IF(OR(E141="",E140="",E140=0),"",E141/E140-1)</f>
        <v>0.000523305907683458</v>
      </c>
      <c r="R141" s="35" t="n">
        <f aca="false">IF(OR(F141="",F140="",F140=0),"",F141/F140-1)</f>
        <v>-0.00912417697553813</v>
      </c>
      <c r="S141" s="35" t="n">
        <f aca="false">IF(OR(G141="",G140="",G140=0),"",G141/G140-1)</f>
        <v>-0.0113042294608218</v>
      </c>
      <c r="T141" s="35" t="n">
        <f aca="false">IF(OR(H141="",H140="",H140=0),"",H141/H140-1)</f>
        <v>-0.0133230465595515</v>
      </c>
      <c r="U141" s="35" t="n">
        <f aca="false">IF(OR(I141="",I140="",I140=0),"",I141/I140-1)</f>
        <v>0.0129198966408268</v>
      </c>
      <c r="V141" s="35" t="n">
        <f aca="false">IF(OR(J141="",J140="",J140=0),"",J141/J140-1)</f>
        <v>0.00250807668143227</v>
      </c>
    </row>
    <row r="142" customFormat="false" ht="15" hidden="false" customHeight="false" outlineLevel="0" collapsed="false">
      <c r="A142" s="33" t="n">
        <v>46084</v>
      </c>
      <c r="B142" s="34" t="n">
        <v>680.330017089844</v>
      </c>
      <c r="C142" s="34" t="n">
        <v>263.75</v>
      </c>
      <c r="D142" s="34" t="n">
        <v>403.929992675781</v>
      </c>
      <c r="E142" s="34" t="n">
        <v>246.75</v>
      </c>
      <c r="F142" s="34" t="n">
        <v>300.260009765625</v>
      </c>
      <c r="G142" s="34" t="n">
        <v>92.5899963378906</v>
      </c>
      <c r="H142" s="34" t="n">
        <v>89.4300003051758</v>
      </c>
      <c r="I142" s="34" t="n">
        <v>468.140014648438</v>
      </c>
      <c r="J142" s="34" t="n">
        <v>95.4199981689453</v>
      </c>
      <c r="L142" s="35" t="n">
        <f aca="false">IF(COUNT(N142:V142)&lt;9,"",SUMPRODUCT($B$12:$J$12,N142:V142))</f>
        <v>-0.00575824759630678</v>
      </c>
      <c r="N142" s="35" t="n">
        <f aca="false">IF(OR(B142="",B141="",B141=0),"",B142/B141-1)</f>
        <v>-0.00881434154539784</v>
      </c>
      <c r="O142" s="35" t="n">
        <f aca="false">IF(OR(C142="",C141="",C141=0),"",C142/C141-1)</f>
        <v>-0.00366425361223199</v>
      </c>
      <c r="P142" s="35" t="n">
        <f aca="false">IF(OR(D142="",D141="",D141=0),"",D142/D141-1)</f>
        <v>0.0134989462993202</v>
      </c>
      <c r="Q142" s="35" t="n">
        <f aca="false">IF(OR(E142="",E141="",E141=0),"",E142/E141-1)</f>
        <v>-0.00728193424674994</v>
      </c>
      <c r="R142" s="35" t="n">
        <f aca="false">IF(OR(F142="",F141="",F141=0),"",F142/F141-1)</f>
        <v>0.00907384134018008</v>
      </c>
      <c r="S142" s="35" t="n">
        <f aca="false">IF(OR(G142="",G141="",G141=0),"",G142/G141-1)</f>
        <v>-0.00129438839140494</v>
      </c>
      <c r="T142" s="35" t="n">
        <f aca="false">IF(OR(H142="",H141="",H141=0),"",H142/H141-1)</f>
        <v>-0.00200870777758944</v>
      </c>
      <c r="U142" s="35" t="n">
        <f aca="false">IF(OR(I142="",I141="",I141=0),"",I142/I141-1)</f>
        <v>-0.0446122150031877</v>
      </c>
      <c r="V142" s="35" t="n">
        <f aca="false">IF(OR(J142="",J141="",J141=0),"",J142/J141-1)</f>
        <v>-0.00531639877627499</v>
      </c>
    </row>
    <row r="143" customFormat="false" ht="15" hidden="false" customHeight="false" outlineLevel="0" collapsed="false">
      <c r="A143" s="33" t="n">
        <v>46085</v>
      </c>
      <c r="B143" s="34" t="n">
        <v>685.130004882813</v>
      </c>
      <c r="C143" s="34" t="n">
        <v>262.519989013672</v>
      </c>
      <c r="D143" s="34" t="n">
        <v>405.200012207031</v>
      </c>
      <c r="E143" s="34" t="n">
        <v>245.300003051758</v>
      </c>
      <c r="F143" s="34" t="n">
        <v>299.390014648438</v>
      </c>
      <c r="G143" s="34" t="n">
        <v>92.5999984741211</v>
      </c>
      <c r="H143" s="34" t="n">
        <v>89.1500015258789</v>
      </c>
      <c r="I143" s="34" t="n">
        <v>471.799987792969</v>
      </c>
      <c r="J143" s="34" t="n">
        <v>95.5400009155273</v>
      </c>
      <c r="L143" s="35" t="n">
        <f aca="false">IF(COUNT(N143:V143)&lt;9,"",SUMPRODUCT($B$12:$J$12,N143:V143))</f>
        <v>0.000688382908469372</v>
      </c>
      <c r="N143" s="35" t="n">
        <f aca="false">IF(OR(B143="",B142="",B142=0),"",B143/B142-1)</f>
        <v>0.00705538146545592</v>
      </c>
      <c r="O143" s="35" t="n">
        <f aca="false">IF(OR(C143="",C142="",C142=0),"",C143/C142-1)</f>
        <v>-0.00466354876332897</v>
      </c>
      <c r="P143" s="35" t="n">
        <f aca="false">IF(OR(D143="",D142="",D142=0),"",D143/D142-1)</f>
        <v>0.00314415753788655</v>
      </c>
      <c r="Q143" s="35" t="n">
        <f aca="false">IF(OR(E143="",E142="",E142=0),"",E143/E142-1)</f>
        <v>-0.00587638074262209</v>
      </c>
      <c r="R143" s="35" t="n">
        <f aca="false">IF(OR(F143="",F142="",F142=0),"",F143/F142-1)</f>
        <v>-0.00289747248681593</v>
      </c>
      <c r="S143" s="35" t="n">
        <f aca="false">IF(OR(G143="",G142="",G142=0),"",G143/G142-1)</f>
        <v>0.000108026100292591</v>
      </c>
      <c r="T143" s="35" t="n">
        <f aca="false">IF(OR(H143="",H142="",H142=0),"",H143/H142-1)</f>
        <v>-0.00313092673981219</v>
      </c>
      <c r="U143" s="35" t="n">
        <f aca="false">IF(OR(I143="",I142="",I142=0),"",I143/I142-1)</f>
        <v>0.00781811643954322</v>
      </c>
      <c r="V143" s="35" t="n">
        <f aca="false">IF(OR(J143="",J142="",J142=0),"",J143/J142-1)</f>
        <v>0.00125762679610975</v>
      </c>
    </row>
    <row r="144" customFormat="false" ht="15" hidden="false" customHeight="false" outlineLevel="0" collapsed="false">
      <c r="A144" s="33" t="n">
        <v>46086</v>
      </c>
      <c r="B144" s="34" t="n">
        <v>681.309997558594</v>
      </c>
      <c r="C144" s="34" t="n">
        <v>260.290008544922</v>
      </c>
      <c r="D144" s="34" t="n">
        <v>410.679992675781</v>
      </c>
      <c r="E144" s="34" t="n">
        <v>239.630004882813</v>
      </c>
      <c r="F144" s="34" t="n">
        <v>293.549987792969</v>
      </c>
      <c r="G144" s="34" t="n">
        <v>91.129997253418</v>
      </c>
      <c r="H144" s="34" t="n">
        <v>88.7900009155273</v>
      </c>
      <c r="I144" s="34" t="n">
        <v>466.130004882813</v>
      </c>
      <c r="J144" s="34" t="n">
        <v>94.5800018310547</v>
      </c>
      <c r="L144" s="35" t="n">
        <f aca="false">IF(COUNT(N144:V144)&lt;9,"",SUMPRODUCT($B$12:$J$12,N144:V144))</f>
        <v>-0.00800082217442779</v>
      </c>
      <c r="N144" s="35" t="n">
        <f aca="false">IF(OR(B144="",B143="",B143=0),"",B144/B143-1)</f>
        <v>-0.00557559484622539</v>
      </c>
      <c r="O144" s="35" t="n">
        <f aca="false">IF(OR(C144="",C143="",C143=0),"",C144/C143-1)</f>
        <v>-0.00849451684471103</v>
      </c>
      <c r="P144" s="35" t="n">
        <f aca="false">IF(OR(D144="",D143="",D143=0),"",D144/D143-1)</f>
        <v>0.0135241369784316</v>
      </c>
      <c r="Q144" s="35" t="n">
        <f aca="false">IF(OR(E144="",E143="",E143=0),"",E144/E143-1)</f>
        <v>-0.0231145458557073</v>
      </c>
      <c r="R144" s="35" t="n">
        <f aca="false">IF(OR(F144="",F143="",F143=0),"",F144/F143-1)</f>
        <v>-0.0195064182829435</v>
      </c>
      <c r="S144" s="35" t="n">
        <f aca="false">IF(OR(G144="",G143="",G143=0),"",G144/G143-1)</f>
        <v>-0.0158747434657239</v>
      </c>
      <c r="T144" s="35" t="n">
        <f aca="false">IF(OR(H144="",H143="",H143=0),"",H144/H143-1)</f>
        <v>-0.00403814474694209</v>
      </c>
      <c r="U144" s="35" t="n">
        <f aca="false">IF(OR(I144="",I143="",I143=0),"",I144/I143-1)</f>
        <v>-0.0120177682425969</v>
      </c>
      <c r="V144" s="35" t="n">
        <f aca="false">IF(OR(J144="",J143="",J143=0),"",J144/J143-1)</f>
        <v>-0.0100481376938796</v>
      </c>
    </row>
    <row r="145" customFormat="false" ht="15" hidden="false" customHeight="false" outlineLevel="0" collapsed="false">
      <c r="A145" s="33" t="n">
        <v>46087</v>
      </c>
      <c r="B145" s="34" t="n">
        <v>672.380004882813</v>
      </c>
      <c r="C145" s="34" t="n">
        <v>257.459991455078</v>
      </c>
      <c r="D145" s="34" t="n">
        <v>408.959991455078</v>
      </c>
      <c r="E145" s="34" t="n">
        <v>240.399993896484</v>
      </c>
      <c r="F145" s="34" t="n">
        <v>289.480010986328</v>
      </c>
      <c r="G145" s="34" t="n">
        <v>91.0199966430664</v>
      </c>
      <c r="H145" s="34" t="n">
        <v>88.4599990844727</v>
      </c>
      <c r="I145" s="34" t="n">
        <v>473.510009765625</v>
      </c>
      <c r="J145" s="34" t="n">
        <v>93.5500030517578</v>
      </c>
      <c r="L145" s="35" t="n">
        <f aca="false">IF(COUNT(N145:V145)&lt;9,"",SUMPRODUCT($B$12:$J$12,N145:V145))</f>
        <v>-0.00538742319992561</v>
      </c>
      <c r="N145" s="35" t="n">
        <f aca="false">IF(OR(B145="",B144="",B144=0),"",B145/B144-1)</f>
        <v>-0.013107091790493</v>
      </c>
      <c r="O145" s="35" t="n">
        <f aca="false">IF(OR(C145="",C144="",C144=0),"",C145/C144-1)</f>
        <v>-0.0108725536783544</v>
      </c>
      <c r="P145" s="35" t="n">
        <f aca="false">IF(OR(D145="",D144="",D144=0),"",D145/D144-1)</f>
        <v>-0.00418817875566901</v>
      </c>
      <c r="Q145" s="35" t="n">
        <f aca="false">IF(OR(E145="",E144="",E144=0),"",E145/E144-1)</f>
        <v>0.0032132412384982</v>
      </c>
      <c r="R145" s="35" t="n">
        <f aca="false">IF(OR(F145="",F144="",F144=0),"",F145/F144-1)</f>
        <v>-0.013864680551482</v>
      </c>
      <c r="S145" s="35" t="n">
        <f aca="false">IF(OR(G145="",G144="",G144=0),"",G145/G144-1)</f>
        <v>-0.00120707356158145</v>
      </c>
      <c r="T145" s="35" t="n">
        <f aca="false">IF(OR(H145="",H144="",H144=0),"",H145/H144-1)</f>
        <v>-0.00371665534014987</v>
      </c>
      <c r="U145" s="35" t="n">
        <f aca="false">IF(OR(I145="",I144="",I144=0),"",I145/I144-1)</f>
        <v>0.0158325033906954</v>
      </c>
      <c r="V145" s="35" t="n">
        <f aca="false">IF(OR(J145="",J144="",J144=0),"",J145/J144-1)</f>
        <v>-0.010890238521424</v>
      </c>
    </row>
    <row r="146" customFormat="false" ht="15" hidden="false" customHeight="false" outlineLevel="0" collapsed="false">
      <c r="A146" s="33" t="n">
        <v>46090</v>
      </c>
      <c r="B146" s="34" t="n">
        <v>678.27001953125</v>
      </c>
      <c r="C146" s="34" t="n">
        <v>259.880004882813</v>
      </c>
      <c r="D146" s="34" t="n">
        <v>409.410003662109</v>
      </c>
      <c r="E146" s="34" t="n">
        <v>242.589996337891</v>
      </c>
      <c r="F146" s="34" t="n">
        <v>289.920013427734</v>
      </c>
      <c r="G146" s="34" t="n">
        <v>92.0100021362305</v>
      </c>
      <c r="H146" s="34" t="n">
        <v>89.2300033569336</v>
      </c>
      <c r="I146" s="34" t="n">
        <v>472.529998779297</v>
      </c>
      <c r="J146" s="34" t="n">
        <v>93.7600021362305</v>
      </c>
      <c r="L146" s="35" t="n">
        <f aca="false">IF(COUNT(N146:V146)&lt;9,"",SUMPRODUCT($B$12:$J$12,N146:V146))</f>
        <v>0.00578827373829357</v>
      </c>
      <c r="N146" s="35" t="n">
        <f aca="false">IF(OR(B146="",B145="",B145=0),"",B146/B145-1)</f>
        <v>0.00875994914432887</v>
      </c>
      <c r="O146" s="35" t="n">
        <f aca="false">IF(OR(C146="",C145="",C145=0),"",C146/C145-1)</f>
        <v>0.00939957083839671</v>
      </c>
      <c r="P146" s="35" t="n">
        <f aca="false">IF(OR(D146="",D145="",D145=0),"",D146/D145-1)</f>
        <v>0.00110038198462847</v>
      </c>
      <c r="Q146" s="35" t="n">
        <f aca="false">IF(OR(E146="",E145="",E145=0),"",E146/E145-1)</f>
        <v>0.00910982735860633</v>
      </c>
      <c r="R146" s="35" t="n">
        <f aca="false">IF(OR(F146="",F145="",F145=0),"",F146/F145-1)</f>
        <v>0.00151997521316516</v>
      </c>
      <c r="S146" s="35" t="n">
        <f aca="false">IF(OR(G146="",G145="",G145=0),"",G146/G145-1)</f>
        <v>0.010876791141252</v>
      </c>
      <c r="T146" s="35" t="n">
        <f aca="false">IF(OR(H146="",H145="",H145=0),"",H146/H145-1)</f>
        <v>0.00870454759699468</v>
      </c>
      <c r="U146" s="35" t="n">
        <f aca="false">IF(OR(I146="",I145="",I145=0),"",I146/I145-1)</f>
        <v>-0.00206967321939633</v>
      </c>
      <c r="V146" s="35" t="n">
        <f aca="false">IF(OR(J146="",J145="",J145=0),"",J146/J145-1)</f>
        <v>0.0022447790232194</v>
      </c>
    </row>
    <row r="147" customFormat="false" ht="15" hidden="false" customHeight="false" outlineLevel="0" collapsed="false">
      <c r="A147" s="33" t="n">
        <v>46091</v>
      </c>
      <c r="B147" s="34" t="n">
        <v>677.179992675781</v>
      </c>
      <c r="C147" s="34" t="n">
        <v>260.829986572266</v>
      </c>
      <c r="D147" s="34" t="n">
        <v>405.760009765625</v>
      </c>
      <c r="E147" s="34" t="n">
        <v>243.710006713867</v>
      </c>
      <c r="F147" s="34" t="n">
        <v>288.730010986328</v>
      </c>
      <c r="G147" s="34" t="n">
        <v>91.5400009155273</v>
      </c>
      <c r="H147" s="34" t="n">
        <v>88.2799987792969</v>
      </c>
      <c r="I147" s="34" t="n">
        <v>477.859985351563</v>
      </c>
      <c r="J147" s="34" t="n">
        <v>93.620002746582</v>
      </c>
      <c r="L147" s="35" t="n">
        <f aca="false">IF(COUNT(N147:V147)&lt;9,"",SUMPRODUCT($B$12:$J$12,N147:V147))</f>
        <v>-0.00099738296688297</v>
      </c>
      <c r="N147" s="35" t="n">
        <f aca="false">IF(OR(B147="",B146="",B146=0),"",B147/B146-1)</f>
        <v>-0.00160706919675191</v>
      </c>
      <c r="O147" s="35" t="n">
        <f aca="false">IF(OR(C147="",C146="",C146=0),"",C147/C146-1)</f>
        <v>0.00365546279669116</v>
      </c>
      <c r="P147" s="35" t="n">
        <f aca="false">IF(OR(D147="",D146="",D146=0),"",D147/D146-1)</f>
        <v>-0.008915253325115</v>
      </c>
      <c r="Q147" s="35" t="n">
        <f aca="false">IF(OR(E147="",E146="",E146=0),"",E147/E146-1)</f>
        <v>0.00461688607479105</v>
      </c>
      <c r="R147" s="35" t="n">
        <f aca="false">IF(OR(F147="",F146="",F146=0),"",F147/F146-1)</f>
        <v>-0.00410458880481046</v>
      </c>
      <c r="S147" s="35" t="n">
        <f aca="false">IF(OR(G147="",G146="",G146=0),"",G147/G146-1)</f>
        <v>-0.00510815356799266</v>
      </c>
      <c r="T147" s="35" t="n">
        <f aca="false">IF(OR(H147="",H146="",H146=0),"",H147/H146-1)</f>
        <v>-0.0106466944065499</v>
      </c>
      <c r="U147" s="35" t="n">
        <f aca="false">IF(OR(I147="",I146="",I146=0),"",I147/I146-1)</f>
        <v>0.0112796787210021</v>
      </c>
      <c r="V147" s="35" t="n">
        <f aca="false">IF(OR(J147="",J146="",J146=0),"",J147/J146-1)</f>
        <v>-0.00149316751769135</v>
      </c>
    </row>
    <row r="148" customFormat="false" ht="15" hidden="false" customHeight="false" outlineLevel="0" collapsed="false">
      <c r="A148" s="33" t="n">
        <v>46092</v>
      </c>
      <c r="B148" s="34" t="n">
        <v>676.330017089844</v>
      </c>
      <c r="C148" s="34" t="n">
        <v>260.809997558594</v>
      </c>
      <c r="D148" s="34" t="n">
        <v>404.880004882813</v>
      </c>
      <c r="E148" s="34" t="n">
        <v>242.990005493164</v>
      </c>
      <c r="F148" s="34" t="n">
        <v>287.519989013672</v>
      </c>
      <c r="G148" s="34" t="n">
        <v>91.6600036621094</v>
      </c>
      <c r="H148" s="34" t="n">
        <v>87.1399993896484</v>
      </c>
      <c r="I148" s="34" t="n">
        <v>476.239990234375</v>
      </c>
      <c r="J148" s="34" t="n">
        <v>92.6500015258789</v>
      </c>
      <c r="L148" s="35" t="n">
        <f aca="false">IF(COUNT(N148:V148)&lt;9,"",SUMPRODUCT($B$12:$J$12,N148:V148))</f>
        <v>-0.00360176428259968</v>
      </c>
      <c r="N148" s="35" t="n">
        <f aca="false">IF(OR(B148="",B147="",B147=0),"",B148/B147-1)</f>
        <v>-0.00125516937170356</v>
      </c>
      <c r="O148" s="35" t="n">
        <f aca="false">IF(OR(C148="",C147="",C147=0),"",C148/C147-1)</f>
        <v>-7.66361795080384E-005</v>
      </c>
      <c r="P148" s="35" t="n">
        <f aca="false">IF(OR(D148="",D147="",D147=0),"",D148/D147-1)</f>
        <v>-0.00216878169763524</v>
      </c>
      <c r="Q148" s="35" t="n">
        <f aca="false">IF(OR(E148="",E147="",E147=0),"",E148/E147-1)</f>
        <v>-0.0029543358945795</v>
      </c>
      <c r="R148" s="35" t="n">
        <f aca="false">IF(OR(F148="",F147="",F147=0),"",F148/F147-1)</f>
        <v>-0.00419084240160028</v>
      </c>
      <c r="S148" s="35" t="n">
        <f aca="false">IF(OR(G148="",G147="",G147=0),"",G148/G147-1)</f>
        <v>0.00131093232883894</v>
      </c>
      <c r="T148" s="35" t="n">
        <f aca="false">IF(OR(H148="",H147="",H147=0),"",H148/H147-1)</f>
        <v>-0.0129134504464431</v>
      </c>
      <c r="U148" s="35" t="n">
        <f aca="false">IF(OR(I148="",I147="",I147=0),"",I148/I147-1)</f>
        <v>-0.00339010414524699</v>
      </c>
      <c r="V148" s="35" t="n">
        <f aca="false">IF(OR(J148="",J147="",J147=0),"",J148/J147-1)</f>
        <v>-0.010361046702047</v>
      </c>
    </row>
    <row r="149" customFormat="false" ht="15" hidden="false" customHeight="false" outlineLevel="0" collapsed="false">
      <c r="A149" s="33" t="n">
        <v>46093</v>
      </c>
      <c r="B149" s="34" t="n">
        <v>666.059997558594</v>
      </c>
      <c r="C149" s="34" t="n">
        <v>255.759994506836</v>
      </c>
      <c r="D149" s="34" t="n">
        <v>401.859985351563</v>
      </c>
      <c r="E149" s="34" t="n">
        <v>242.039993286133</v>
      </c>
      <c r="F149" s="34" t="n">
        <v>282.890014648438</v>
      </c>
      <c r="G149" s="34" t="n">
        <v>91.7300033569336</v>
      </c>
      <c r="H149" s="34" t="n">
        <v>86.9700012207031</v>
      </c>
      <c r="I149" s="34" t="n">
        <v>466.880004882813</v>
      </c>
      <c r="J149" s="34" t="n">
        <v>92.0100021362305</v>
      </c>
      <c r="L149" s="35" t="n">
        <f aca="false">IF(COUNT(N149:V149)&lt;9,"",SUMPRODUCT($B$12:$J$12,N149:V149))</f>
        <v>-0.0116120180485515</v>
      </c>
      <c r="N149" s="35" t="n">
        <f aca="false">IF(OR(B149="",B148="",B148=0),"",B149/B148-1)</f>
        <v>-0.0151849234423167</v>
      </c>
      <c r="O149" s="35" t="n">
        <f aca="false">IF(OR(C149="",C148="",C148=0),"",C149/C148-1)</f>
        <v>-0.0193627663779393</v>
      </c>
      <c r="P149" s="35" t="n">
        <f aca="false">IF(OR(D149="",D148="",D148=0),"",D149/D148-1)</f>
        <v>-0.00745904834723588</v>
      </c>
      <c r="Q149" s="35" t="n">
        <f aca="false">IF(OR(E149="",E148="",E148=0),"",E149/E148-1)</f>
        <v>-0.00390967605890979</v>
      </c>
      <c r="R149" s="35" t="n">
        <f aca="false">IF(OR(F149="",F148="",F148=0),"",F149/F148-1)</f>
        <v>-0.0161031390586684</v>
      </c>
      <c r="S149" s="35" t="n">
        <f aca="false">IF(OR(G149="",G148="",G148=0),"",G149/G148-1)</f>
        <v>0.000763688544921148</v>
      </c>
      <c r="T149" s="35" t="n">
        <f aca="false">IF(OR(H149="",H148="",H148=0),"",H149/H148-1)</f>
        <v>-0.00195086263640132</v>
      </c>
      <c r="U149" s="35" t="n">
        <f aca="false">IF(OR(I149="",I148="",I148=0),"",I149/I148-1)</f>
        <v>-0.0196539256330733</v>
      </c>
      <c r="V149" s="35" t="n">
        <f aca="false">IF(OR(J149="",J148="",J148=0),"",J149/J148-1)</f>
        <v>-0.00690771051384864</v>
      </c>
    </row>
    <row r="150" customFormat="false" ht="15" hidden="false" customHeight="false" outlineLevel="0" collapsed="false">
      <c r="A150" s="33" t="n">
        <v>46094</v>
      </c>
      <c r="B150" s="34" t="n">
        <v>662.289978027344</v>
      </c>
      <c r="C150" s="34" t="n">
        <v>250.119995117188</v>
      </c>
      <c r="D150" s="34" t="n">
        <v>395.549987792969</v>
      </c>
      <c r="E150" s="34" t="n">
        <v>241.520004272461</v>
      </c>
      <c r="F150" s="34" t="n">
        <v>283.440002441406</v>
      </c>
      <c r="G150" s="34" t="n">
        <v>92.7799987792969</v>
      </c>
      <c r="H150" s="34" t="n">
        <v>86.5400009155273</v>
      </c>
      <c r="I150" s="34" t="n">
        <v>460.839996337891</v>
      </c>
      <c r="J150" s="34" t="n">
        <v>92.1600036621094</v>
      </c>
      <c r="L150" s="35" t="n">
        <f aca="false">IF(COUNT(N150:V150)&lt;9,"",SUMPRODUCT($B$12:$J$12,N150:V150))</f>
        <v>-0.00798683863391288</v>
      </c>
      <c r="N150" s="35" t="n">
        <f aca="false">IF(OR(B150="",B149="",B149=0),"",B150/B149-1)</f>
        <v>-0.0056601800814774</v>
      </c>
      <c r="O150" s="35" t="n">
        <f aca="false">IF(OR(C150="",C149="",C149=0),"",C150/C149-1)</f>
        <v>-0.0220519217656506</v>
      </c>
      <c r="P150" s="35" t="n">
        <f aca="false">IF(OR(D150="",D149="",D149=0),"",D150/D149-1)</f>
        <v>-0.0157019802632845</v>
      </c>
      <c r="Q150" s="35" t="n">
        <f aca="false">IF(OR(E150="",E149="",E149=0),"",E150/E149-1)</f>
        <v>-0.002148359891323</v>
      </c>
      <c r="R150" s="35" t="n">
        <f aca="false">IF(OR(F150="",F149="",F149=0),"",F150/F149-1)</f>
        <v>0.00194417534903635</v>
      </c>
      <c r="S150" s="35" t="n">
        <f aca="false">IF(OR(G150="",G149="",G149=0),"",G150/G149-1)</f>
        <v>0.011446586546799</v>
      </c>
      <c r="T150" s="35" t="n">
        <f aca="false">IF(OR(H150="",H149="",H149=0),"",H150/H149-1)</f>
        <v>-0.00494423708336611</v>
      </c>
      <c r="U150" s="35" t="n">
        <f aca="false">IF(OR(I150="",I149="",I149=0),"",I150/I149-1)</f>
        <v>-0.012936961278601</v>
      </c>
      <c r="V150" s="35" t="n">
        <f aca="false">IF(OR(J150="",J149="",J149=0),"",J150/J149-1)</f>
        <v>0.00163027412668471</v>
      </c>
    </row>
    <row r="151" customFormat="false" ht="15" hidden="false" customHeight="false" outlineLevel="0" collapsed="false">
      <c r="A151" s="33" t="n">
        <v>46097</v>
      </c>
      <c r="B151" s="34" t="n">
        <v>669.030029296875</v>
      </c>
      <c r="C151" s="34" t="n">
        <v>252.820007324219</v>
      </c>
      <c r="D151" s="34" t="n">
        <v>399.950012207031</v>
      </c>
      <c r="E151" s="34" t="n">
        <v>243.190002441406</v>
      </c>
      <c r="F151" s="34" t="n">
        <v>286.160003662109</v>
      </c>
      <c r="G151" s="34" t="n">
        <v>92.8199996948242</v>
      </c>
      <c r="H151" s="34" t="n">
        <v>87.2099990844727</v>
      </c>
      <c r="I151" s="34" t="n">
        <v>460.429992675781</v>
      </c>
      <c r="J151" s="34" t="n">
        <v>92.9300003051758</v>
      </c>
      <c r="L151" s="35" t="n">
        <f aca="false">IF(COUNT(N151:V151)&lt;9,"",SUMPRODUCT($B$12:$J$12,N151:V151))</f>
        <v>0.00807915708011178</v>
      </c>
      <c r="N151" s="35" t="n">
        <f aca="false">IF(OR(B151="",B150="",B150=0),"",B151/B150-1)</f>
        <v>0.0101768885128031</v>
      </c>
      <c r="O151" s="35" t="n">
        <f aca="false">IF(OR(C151="",C150="",C150=0),"",C151/C150-1)</f>
        <v>0.01079486750256</v>
      </c>
      <c r="P151" s="35" t="n">
        <f aca="false">IF(OR(D151="",D150="",D150=0),"",D151/D150-1)</f>
        <v>0.0111238138031875</v>
      </c>
      <c r="Q151" s="35" t="n">
        <f aca="false">IF(OR(E151="",E150="",E150=0),"",E151/E150-1)</f>
        <v>0.00691453353512306</v>
      </c>
      <c r="R151" s="35" t="n">
        <f aca="false">IF(OR(F151="",F150="",F150=0),"",F151/F150-1)</f>
        <v>0.00959639146653357</v>
      </c>
      <c r="S151" s="35" t="n">
        <f aca="false">IF(OR(G151="",G150="",G150=0),"",G151/G150-1)</f>
        <v>0.000431137271541093</v>
      </c>
      <c r="T151" s="35" t="n">
        <f aca="false">IF(OR(H151="",H150="",H150=0),"",H151/H150-1)</f>
        <v>0.00774206334478067</v>
      </c>
      <c r="U151" s="35" t="n">
        <f aca="false">IF(OR(I151="",I150="",I150=0),"",I151/I150-1)</f>
        <v>-0.000889687668970018</v>
      </c>
      <c r="V151" s="35" t="n">
        <f aca="false">IF(OR(J151="",J150="",J150=0),"",J151/J150-1)</f>
        <v>0.00835499796516359</v>
      </c>
    </row>
    <row r="152" customFormat="false" ht="15" hidden="false" customHeight="false" outlineLevel="0" collapsed="false">
      <c r="A152" s="33" t="n">
        <v>46098</v>
      </c>
      <c r="B152" s="34" t="n">
        <v>670.789978027344</v>
      </c>
      <c r="C152" s="34" t="n">
        <v>254.229995727539</v>
      </c>
      <c r="D152" s="34" t="n">
        <v>399.410003662109</v>
      </c>
      <c r="E152" s="34" t="n">
        <v>238.110000610352</v>
      </c>
      <c r="F152" s="34" t="n">
        <v>286.890014648438</v>
      </c>
      <c r="G152" s="34" t="n">
        <v>92.5299987792969</v>
      </c>
      <c r="H152" s="34" t="n">
        <v>87.4499969482422</v>
      </c>
      <c r="I152" s="34" t="n">
        <v>459.269989013672</v>
      </c>
      <c r="J152" s="34" t="n">
        <v>93.3399963378906</v>
      </c>
      <c r="L152" s="35" t="n">
        <f aca="false">IF(COUNT(N152:V152)&lt;9,"",SUMPRODUCT($B$12:$J$12,N152:V152))</f>
        <v>-0.000477984685143005</v>
      </c>
      <c r="N152" s="35" t="n">
        <f aca="false">IF(OR(B152="",B151="",B151=0),"",B152/B151-1)</f>
        <v>0.00263059751192118</v>
      </c>
      <c r="O152" s="35" t="n">
        <f aca="false">IF(OR(C152="",C151="",C151=0),"",C152/C151-1)</f>
        <v>0.00557704438918005</v>
      </c>
      <c r="P152" s="35" t="n">
        <f aca="false">IF(OR(D152="",D151="",D151=0),"",D152/D151-1)</f>
        <v>-0.00135019009486248</v>
      </c>
      <c r="Q152" s="35" t="n">
        <f aca="false">IF(OR(E152="",E151="",E151=0),"",E152/E151-1)</f>
        <v>-0.0208890241377335</v>
      </c>
      <c r="R152" s="35" t="n">
        <f aca="false">IF(OR(F152="",F151="",F151=0),"",F152/F151-1)</f>
        <v>0.00255105876777595</v>
      </c>
      <c r="S152" s="35" t="n">
        <f aca="false">IF(OR(G152="",G151="",G151=0),"",G152/G151-1)</f>
        <v>-0.0031243365274809</v>
      </c>
      <c r="T152" s="35" t="n">
        <f aca="false">IF(OR(H152="",H151="",H151=0),"",H152/H151-1)</f>
        <v>0.00275195351781887</v>
      </c>
      <c r="U152" s="35" t="n">
        <f aca="false">IF(OR(I152="",I151="",I151=0),"",I152/I151-1)</f>
        <v>-0.00251939204778495</v>
      </c>
      <c r="V152" s="35" t="n">
        <f aca="false">IF(OR(J152="",J151="",J151=0),"",J152/J151-1)</f>
        <v>0.004411880247158</v>
      </c>
    </row>
    <row r="153" customFormat="false" ht="15" hidden="false" customHeight="false" outlineLevel="0" collapsed="false">
      <c r="A153" s="33" t="n">
        <v>46099</v>
      </c>
      <c r="B153" s="34" t="n">
        <v>661.429992675781</v>
      </c>
      <c r="C153" s="34" t="n">
        <v>249.940002441406</v>
      </c>
      <c r="D153" s="34" t="n">
        <v>391.790008544922</v>
      </c>
      <c r="E153" s="34" t="n">
        <v>237.279998779297</v>
      </c>
      <c r="F153" s="34" t="n">
        <v>287.739990234375</v>
      </c>
      <c r="G153" s="34" t="n">
        <v>90.9599990844727</v>
      </c>
      <c r="H153" s="34" t="n">
        <v>86.9599990844727</v>
      </c>
      <c r="I153" s="34" t="n">
        <v>444.739990234375</v>
      </c>
      <c r="J153" s="34" t="n">
        <v>91.9599990844727</v>
      </c>
      <c r="L153" s="35" t="n">
        <f aca="false">IF(COUNT(N153:V153)&lt;9,"",SUMPRODUCT($B$12:$J$12,N153:V153))</f>
        <v>-0.0135831520819997</v>
      </c>
      <c r="N153" s="35" t="n">
        <f aca="false">IF(OR(B153="",B152="",B152=0),"",B153/B152-1)</f>
        <v>-0.0139536750073231</v>
      </c>
      <c r="O153" s="35" t="n">
        <f aca="false">IF(OR(C153="",C152="",C152=0),"",C153/C152-1)</f>
        <v>-0.0168744576101502</v>
      </c>
      <c r="P153" s="35" t="n">
        <f aca="false">IF(OR(D153="",D152="",D152=0),"",D153/D152-1)</f>
        <v>-0.0190781278568909</v>
      </c>
      <c r="Q153" s="35" t="n">
        <f aca="false">IF(OR(E153="",E152="",E152=0),"",E153/E152-1)</f>
        <v>-0.00348579156241835</v>
      </c>
      <c r="R153" s="35" t="n">
        <f aca="false">IF(OR(F153="",F152="",F152=0),"",F153/F152-1)</f>
        <v>0.00296272279458232</v>
      </c>
      <c r="S153" s="35" t="n">
        <f aca="false">IF(OR(G153="",G152="",G152=0),"",G153/G152-1)</f>
        <v>-0.0169674669354419</v>
      </c>
      <c r="T153" s="35" t="n">
        <f aca="false">IF(OR(H153="",H152="",H152=0),"",H153/H152-1)</f>
        <v>-0.00560317759713025</v>
      </c>
      <c r="U153" s="35" t="n">
        <f aca="false">IF(OR(I153="",I152="",I152=0),"",I153/I152-1)</f>
        <v>-0.0316371614232874</v>
      </c>
      <c r="V153" s="35" t="n">
        <f aca="false">IF(OR(J153="",J152="",J152=0),"",J153/J152-1)</f>
        <v>-0.014784629393195</v>
      </c>
    </row>
    <row r="154" customFormat="false" ht="15" hidden="false" customHeight="false" outlineLevel="0" collapsed="false">
      <c r="A154" s="33" t="n">
        <v>46100</v>
      </c>
      <c r="B154" s="34" t="n">
        <v>659.799987792969</v>
      </c>
      <c r="C154" s="34" t="n">
        <v>248.960006713867</v>
      </c>
      <c r="D154" s="34" t="n">
        <v>389.019989013672</v>
      </c>
      <c r="E154" s="34" t="n">
        <v>237.600006103516</v>
      </c>
      <c r="F154" s="34" t="n">
        <v>287.970001220703</v>
      </c>
      <c r="G154" s="34" t="n">
        <v>92.4100036621094</v>
      </c>
      <c r="H154" s="34" t="n">
        <v>87.4899978637695</v>
      </c>
      <c r="I154" s="34" t="n">
        <v>426.410003662109</v>
      </c>
      <c r="J154" s="34" t="n">
        <v>91.5899963378906</v>
      </c>
      <c r="L154" s="35" t="n">
        <f aca="false">IF(COUNT(N154:V154)&lt;9,"",SUMPRODUCT($B$12:$J$12,N154:V154))</f>
        <v>-0.00499492911825685</v>
      </c>
      <c r="N154" s="35" t="n">
        <f aca="false">IF(OR(B154="",B153="",B153=0),"",B154/B153-1)</f>
        <v>-0.00246436493787938</v>
      </c>
      <c r="O154" s="35" t="n">
        <f aca="false">IF(OR(C154="",C153="",C153=0),"",C154/C153-1)</f>
        <v>-0.00392092389360021</v>
      </c>
      <c r="P154" s="35" t="n">
        <f aca="false">IF(OR(D154="",D153="",D153=0),"",D154/D153-1)</f>
        <v>-0.00707016378885628</v>
      </c>
      <c r="Q154" s="35" t="n">
        <f aca="false">IF(OR(E154="",E153="",E153=0),"",E154/E153-1)</f>
        <v>0.00134864854123951</v>
      </c>
      <c r="R154" s="35" t="n">
        <f aca="false">IF(OR(F154="",F153="",F153=0),"",F154/F153-1)</f>
        <v>0.000799370939509103</v>
      </c>
      <c r="S154" s="35" t="n">
        <f aca="false">IF(OR(G154="",G153="",G153=0),"",G154/G153-1)</f>
        <v>0.0159411234853919</v>
      </c>
      <c r="T154" s="35" t="n">
        <f aca="false">IF(OR(H154="",H153="",H153=0),"",H154/H153-1)</f>
        <v>0.00609474223639261</v>
      </c>
      <c r="U154" s="35" t="n">
        <f aca="false">IF(OR(I154="",I153="",I153=0),"",I154/I153-1)</f>
        <v>-0.0412150626765231</v>
      </c>
      <c r="V154" s="35" t="n">
        <f aca="false">IF(OR(J154="",J153="",J153=0),"",J154/J153-1)</f>
        <v>-0.00402351838044524</v>
      </c>
    </row>
    <row r="155" customFormat="false" ht="15" hidden="false" customHeight="false" outlineLevel="0" collapsed="false">
      <c r="A155" s="33" t="n">
        <v>46101</v>
      </c>
      <c r="B155" s="34" t="n">
        <v>648.570007324219</v>
      </c>
      <c r="C155" s="34" t="n">
        <v>247.990005493164</v>
      </c>
      <c r="D155" s="34" t="n">
        <v>381.869995117188</v>
      </c>
      <c r="E155" s="34" t="n">
        <v>235.369995117188</v>
      </c>
      <c r="F155" s="34" t="n">
        <v>286.559997558594</v>
      </c>
      <c r="G155" s="34" t="n">
        <v>89.5</v>
      </c>
      <c r="H155" s="34" t="n">
        <v>85.8300018310547</v>
      </c>
      <c r="I155" s="34" t="n">
        <v>413.380004882813</v>
      </c>
      <c r="J155" s="34" t="n">
        <v>88.75</v>
      </c>
      <c r="L155" s="35" t="n">
        <f aca="false">IF(COUNT(N155:V155)&lt;9,"",SUMPRODUCT($B$12:$J$12,N155:V155))</f>
        <v>-0.0163494112945663</v>
      </c>
      <c r="N155" s="35" t="n">
        <f aca="false">IF(OR(B155="",B154="",B154=0),"",B155/B154-1)</f>
        <v>-0.0170202798977221</v>
      </c>
      <c r="O155" s="35" t="n">
        <f aca="false">IF(OR(C155="",C154="",C154=0),"",C155/C154-1)</f>
        <v>-0.00389621302435861</v>
      </c>
      <c r="P155" s="35" t="n">
        <f aca="false">IF(OR(D155="",D154="",D154=0),"",D155/D154-1)</f>
        <v>-0.0183795025921732</v>
      </c>
      <c r="Q155" s="35" t="n">
        <f aca="false">IF(OR(E155="",E154="",E154=0),"",E155/E154-1)</f>
        <v>-0.00938556788317768</v>
      </c>
      <c r="R155" s="35" t="n">
        <f aca="false">IF(OR(F155="",F154="",F154=0),"",F155/F154-1)</f>
        <v>-0.00489635606532635</v>
      </c>
      <c r="S155" s="35" t="n">
        <f aca="false">IF(OR(G155="",G154="",G154=0),"",G155/G154-1)</f>
        <v>-0.0314901368552005</v>
      </c>
      <c r="T155" s="35" t="n">
        <f aca="false">IF(OR(H155="",H154="",H154=0),"",H155/H154-1)</f>
        <v>-0.0189735521002021</v>
      </c>
      <c r="U155" s="35" t="n">
        <f aca="false">IF(OR(I155="",I154="",I154=0),"",I155/I154-1)</f>
        <v>-0.0305574415876534</v>
      </c>
      <c r="V155" s="35" t="n">
        <f aca="false">IF(OR(J155="",J154="",J154=0),"",J155/J154-1)</f>
        <v>-0.031007713194063</v>
      </c>
    </row>
    <row r="156" customFormat="false" ht="15" hidden="false" customHeight="false" outlineLevel="0" collapsed="false">
      <c r="A156" s="33" t="n">
        <v>46104</v>
      </c>
      <c r="B156" s="34" t="n">
        <v>655.380004882813</v>
      </c>
      <c r="C156" s="34" t="n">
        <v>251.490005493164</v>
      </c>
      <c r="D156" s="34" t="n">
        <v>383</v>
      </c>
      <c r="E156" s="34" t="n">
        <v>235.419998168945</v>
      </c>
      <c r="F156" s="34" t="n">
        <v>289.910003662109</v>
      </c>
      <c r="G156" s="34" t="n">
        <v>90.2300033569336</v>
      </c>
      <c r="H156" s="34" t="n">
        <v>86.3899993896484</v>
      </c>
      <c r="I156" s="34" t="n">
        <v>404.040008544922</v>
      </c>
      <c r="J156" s="34" t="n">
        <v>89.4400024414063</v>
      </c>
      <c r="L156" s="35" t="n">
        <f aca="false">IF(COUNT(N156:V156)&lt;9,"",SUMPRODUCT($B$12:$J$12,N156:V156))</f>
        <v>0.00509032417911387</v>
      </c>
      <c r="N156" s="35" t="n">
        <f aca="false">IF(OR(B156="",B155="",B155=0),"",B156/B155-1)</f>
        <v>0.010500019244938</v>
      </c>
      <c r="O156" s="35" t="n">
        <f aca="false">IF(OR(C156="",C155="",C155=0),"",C156/C155-1)</f>
        <v>0.0141134720048082</v>
      </c>
      <c r="P156" s="35" t="n">
        <f aca="false">IF(OR(D156="",D155="",D155=0),"",D156/D155-1)</f>
        <v>0.0029591350387852</v>
      </c>
      <c r="Q156" s="35" t="n">
        <f aca="false">IF(OR(E156="",E155="",E155=0),"",E156/E155-1)</f>
        <v>0.000212444461037187</v>
      </c>
      <c r="R156" s="35" t="n">
        <f aca="false">IF(OR(F156="",F155="",F155=0),"",F156/F155-1)</f>
        <v>0.0116904178254329</v>
      </c>
      <c r="S156" s="35" t="n">
        <f aca="false">IF(OR(G156="",G155="",G155=0),"",G156/G155-1)</f>
        <v>0.0081564620886434</v>
      </c>
      <c r="T156" s="35" t="n">
        <f aca="false">IF(OR(H156="",H155="",H155=0),"",H156/H155-1)</f>
        <v>0.00652449664041699</v>
      </c>
      <c r="U156" s="35" t="n">
        <f aca="false">IF(OR(I156="",I155="",I155=0),"",I156/I155-1)</f>
        <v>-0.0225942141070388</v>
      </c>
      <c r="V156" s="35" t="n">
        <f aca="false">IF(OR(J156="",J155="",J155=0),"",J156/J155-1)</f>
        <v>0.00777467539612742</v>
      </c>
    </row>
    <row r="157" customFormat="false" ht="15" hidden="false" customHeight="false" outlineLevel="0" collapsed="false">
      <c r="A157" s="33" t="n">
        <v>46105</v>
      </c>
      <c r="B157" s="34" t="n">
        <v>653.179992675781</v>
      </c>
      <c r="C157" s="34" t="n">
        <v>251.639999389648</v>
      </c>
      <c r="D157" s="34" t="n">
        <v>372.739990234375</v>
      </c>
      <c r="E157" s="34" t="n">
        <v>235.270004272461</v>
      </c>
      <c r="F157" s="34" t="n">
        <v>292.399993896484</v>
      </c>
      <c r="G157" s="34" t="n">
        <v>91.620002746582</v>
      </c>
      <c r="H157" s="34" t="n">
        <v>86.0100021362305</v>
      </c>
      <c r="I157" s="34" t="n">
        <v>404.130004882813</v>
      </c>
      <c r="J157" s="34" t="n">
        <v>87.9100036621094</v>
      </c>
      <c r="L157" s="35" t="n">
        <f aca="false">IF(COUNT(N157:V157)&lt;9,"",SUMPRODUCT($B$12:$J$12,N157:V157))</f>
        <v>-0.0042465473330428</v>
      </c>
      <c r="N157" s="35" t="n">
        <f aca="false">IF(OR(B157="",B156="",B156=0),"",B157/B156-1)</f>
        <v>-0.00335684975226747</v>
      </c>
      <c r="O157" s="35" t="n">
        <f aca="false">IF(OR(C157="",C156="",C156=0),"",C157/C156-1)</f>
        <v>0.000596420904241723</v>
      </c>
      <c r="P157" s="35" t="n">
        <f aca="false">IF(OR(D157="",D156="",D156=0),"",D157/D156-1)</f>
        <v>-0.0267885372470627</v>
      </c>
      <c r="Q157" s="35" t="n">
        <f aca="false">IF(OR(E157="",E156="",E156=0),"",E157/E156-1)</f>
        <v>-0.000637133198753803</v>
      </c>
      <c r="R157" s="35" t="n">
        <f aca="false">IF(OR(F157="",F156="",F156=0),"",F157/F156-1)</f>
        <v>0.00858883861516246</v>
      </c>
      <c r="S157" s="35" t="n">
        <f aca="false">IF(OR(G157="",G156="",G156=0),"",G157/G156-1)</f>
        <v>0.0154050685795701</v>
      </c>
      <c r="T157" s="35" t="n">
        <f aca="false">IF(OR(H157="",H156="",H156=0),"",H157/H156-1)</f>
        <v>-0.00439862549024894</v>
      </c>
      <c r="U157" s="35" t="n">
        <f aca="false">IF(OR(I157="",I156="",I156=0),"",I157/I156-1)</f>
        <v>0.000222741154310757</v>
      </c>
      <c r="V157" s="35" t="n">
        <f aca="false">IF(OR(J157="",J156="",J156=0),"",J157/J156-1)</f>
        <v>-0.017106425956319</v>
      </c>
    </row>
    <row r="158" customFormat="false" ht="15" hidden="false" customHeight="false" outlineLevel="0" collapsed="false">
      <c r="A158" s="33" t="n">
        <v>46106</v>
      </c>
      <c r="B158" s="34" t="n">
        <v>656.820007324219</v>
      </c>
      <c r="C158" s="34" t="n">
        <v>252.619995117188</v>
      </c>
      <c r="D158" s="34" t="n">
        <v>371.040008544922</v>
      </c>
      <c r="E158" s="34" t="n">
        <v>239.929992675781</v>
      </c>
      <c r="F158" s="34" t="n">
        <v>295.420013427734</v>
      </c>
      <c r="G158" s="34" t="n">
        <v>91.1600036621094</v>
      </c>
      <c r="H158" s="34" t="n">
        <v>86.8399963378906</v>
      </c>
      <c r="I158" s="34" t="n">
        <v>416.290008544922</v>
      </c>
      <c r="J158" s="34" t="n">
        <v>87.8399963378906</v>
      </c>
      <c r="L158" s="35" t="n">
        <f aca="false">IF(COUNT(N158:V158)&lt;9,"",SUMPRODUCT($B$12:$J$12,N158:V158))</f>
        <v>0.00795419004424161</v>
      </c>
      <c r="N158" s="35" t="n">
        <f aca="false">IF(OR(B158="",B157="",B157=0),"",B158/B157-1)</f>
        <v>0.00557275894738663</v>
      </c>
      <c r="O158" s="35" t="n">
        <f aca="false">IF(OR(C158="",C157="",C157=0),"",C158/C157-1)</f>
        <v>0.00389443542329104</v>
      </c>
      <c r="P158" s="35" t="n">
        <f aca="false">IF(OR(D158="",D157="",D157=0),"",D158/D157-1)</f>
        <v>-0.00456077086975315</v>
      </c>
      <c r="Q158" s="35" t="n">
        <f aca="false">IF(OR(E158="",E157="",E157=0),"",E158/E157-1)</f>
        <v>0.0198069805699641</v>
      </c>
      <c r="R158" s="35" t="n">
        <f aca="false">IF(OR(F158="",F157="",F157=0),"",F158/F157-1)</f>
        <v>0.010328384385395</v>
      </c>
      <c r="S158" s="35" t="n">
        <f aca="false">IF(OR(G158="",G157="",G157=0),"",G158/G157-1)</f>
        <v>-0.00502072768699802</v>
      </c>
      <c r="T158" s="35" t="n">
        <f aca="false">IF(OR(H158="",H157="",H157=0),"",H158/H157-1)</f>
        <v>0.0096499730385482</v>
      </c>
      <c r="U158" s="35" t="n">
        <f aca="false">IF(OR(I158="",I157="",I157=0),"",I158/I157-1)</f>
        <v>0.0300893363897468</v>
      </c>
      <c r="V158" s="35" t="n">
        <f aca="false">IF(OR(J158="",J157="",J157=0),"",J158/J157-1)</f>
        <v>-0.000796352193180305</v>
      </c>
    </row>
    <row r="159" customFormat="false" ht="15" hidden="false" customHeight="false" outlineLevel="0" collapsed="false">
      <c r="A159" s="33" t="n">
        <v>46107</v>
      </c>
      <c r="B159" s="34" t="n">
        <v>645.090026855469</v>
      </c>
      <c r="C159" s="34" t="n">
        <v>252.889999389648</v>
      </c>
      <c r="D159" s="34" t="n">
        <v>365.970001220703</v>
      </c>
      <c r="E159" s="34" t="n">
        <v>239.240005493164</v>
      </c>
      <c r="F159" s="34" t="n">
        <v>291.660003662109</v>
      </c>
      <c r="G159" s="34" t="n">
        <v>91.1600036621094</v>
      </c>
      <c r="H159" s="34" t="n">
        <v>86.1100006103516</v>
      </c>
      <c r="I159" s="34" t="n">
        <v>400.640014648438</v>
      </c>
      <c r="J159" s="34" t="n">
        <v>87.7200012207031</v>
      </c>
      <c r="L159" s="35" t="n">
        <f aca="false">IF(COUNT(N159:V159)&lt;9,"",SUMPRODUCT($B$12:$J$12,N159:V159))</f>
        <v>-0.01126397027064</v>
      </c>
      <c r="N159" s="35" t="n">
        <f aca="false">IF(OR(B159="",B158="",B158=0),"",B159/B158-1)</f>
        <v>-0.0178587441581387</v>
      </c>
      <c r="O159" s="35" t="n">
        <f aca="false">IF(OR(C159="",C158="",C158=0),"",C159/C158-1)</f>
        <v>0.00106881591987507</v>
      </c>
      <c r="P159" s="35" t="n">
        <f aca="false">IF(OR(D159="",D158="",D158=0),"",D159/D158-1)</f>
        <v>-0.0136643143797394</v>
      </c>
      <c r="Q159" s="35" t="n">
        <f aca="false">IF(OR(E159="",E158="",E158=0),"",E159/E158-1)</f>
        <v>-0.00287578545275646</v>
      </c>
      <c r="R159" s="35" t="n">
        <f aca="false">IF(OR(F159="",F158="",F158=0),"",F159/F158-1)</f>
        <v>-0.012727674479457</v>
      </c>
      <c r="S159" s="35" t="n">
        <f aca="false">IF(OR(G159="",G158="",G158=0),"",G159/G158-1)</f>
        <v>0</v>
      </c>
      <c r="T159" s="35" t="n">
        <f aca="false">IF(OR(H159="",H158="",H158=0),"",H159/H158-1)</f>
        <v>-0.00840621554955634</v>
      </c>
      <c r="U159" s="35" t="n">
        <f aca="false">IF(OR(I159="",I158="",I158=0),"",I159/I158-1)</f>
        <v>-0.0375939695290457</v>
      </c>
      <c r="V159" s="35" t="n">
        <f aca="false">IF(OR(J159="",J158="",J158=0),"",J159/J158-1)</f>
        <v>-0.00136606468795741</v>
      </c>
    </row>
    <row r="160" customFormat="false" ht="15" hidden="false" customHeight="false" outlineLevel="0" collapsed="false">
      <c r="A160" s="33" t="n">
        <v>46108</v>
      </c>
      <c r="B160" s="34" t="n">
        <v>634.090026855469</v>
      </c>
      <c r="C160" s="34" t="n">
        <v>248.800003051758</v>
      </c>
      <c r="D160" s="34" t="n">
        <v>356.769989013672</v>
      </c>
      <c r="E160" s="34" t="n">
        <v>240.449996948242</v>
      </c>
      <c r="F160" s="34" t="n">
        <v>282.839996337891</v>
      </c>
      <c r="G160" s="34" t="n">
        <v>91.4000015258789</v>
      </c>
      <c r="H160" s="34" t="n">
        <v>85.6399993896484</v>
      </c>
      <c r="I160" s="34" t="n">
        <v>414.700012207031</v>
      </c>
      <c r="J160" s="34" t="n">
        <v>87</v>
      </c>
      <c r="L160" s="35" t="n">
        <f aca="false">IF(COUNT(N160:V160)&lt;9,"",SUMPRODUCT($B$12:$J$12,N160:V160))</f>
        <v>-0.00880535318750114</v>
      </c>
      <c r="N160" s="35" t="n">
        <f aca="false">IF(OR(B160="",B159="",B159=0),"",B160/B159-1)</f>
        <v>-0.017051883523328</v>
      </c>
      <c r="O160" s="35" t="n">
        <f aca="false">IF(OR(C160="",C159="",C159=0),"",C160/C159-1)</f>
        <v>-0.0161730252195075</v>
      </c>
      <c r="P160" s="35" t="n">
        <f aca="false">IF(OR(D160="",D159="",D159=0),"",D160/D159-1)</f>
        <v>-0.0251387058402167</v>
      </c>
      <c r="Q160" s="35" t="n">
        <f aca="false">IF(OR(E160="",E159="",E159=0),"",E160/E159-1)</f>
        <v>0.0050576468286887</v>
      </c>
      <c r="R160" s="35" t="n">
        <f aca="false">IF(OR(F160="",F159="",F159=0),"",F160/F159-1)</f>
        <v>-0.0302407159482725</v>
      </c>
      <c r="S160" s="35" t="n">
        <f aca="false">IF(OR(G160="",G159="",G159=0),"",G160/G159-1)</f>
        <v>0.00263271011549171</v>
      </c>
      <c r="T160" s="35" t="n">
        <f aca="false">IF(OR(H160="",H159="",H159=0),"",H160/H159-1)</f>
        <v>-0.00545814908108022</v>
      </c>
      <c r="U160" s="35" t="n">
        <f aca="false">IF(OR(I160="",I159="",I159=0),"",I160/I159-1)</f>
        <v>0.0350938424633662</v>
      </c>
      <c r="V160" s="35" t="n">
        <f aca="false">IF(OR(J160="",J159="",J159=0),"",J160/J159-1)</f>
        <v>-0.00820794813820824</v>
      </c>
    </row>
    <row r="161" customFormat="false" ht="15" hidden="false" customHeight="false" outlineLevel="0" collapsed="false">
      <c r="A161" s="33" t="n">
        <v>46111</v>
      </c>
      <c r="B161" s="34" t="n">
        <v>631.969970703125</v>
      </c>
      <c r="C161" s="34" t="n">
        <v>246.630004882813</v>
      </c>
      <c r="D161" s="34" t="n">
        <v>358.959991455078</v>
      </c>
      <c r="E161" s="34" t="n">
        <v>242.490005493164</v>
      </c>
      <c r="F161" s="34" t="n">
        <v>283.769989013672</v>
      </c>
      <c r="G161" s="34" t="n">
        <v>92.0500030517578</v>
      </c>
      <c r="H161" s="34" t="n">
        <v>86.7799987792969</v>
      </c>
      <c r="I161" s="34" t="n">
        <v>414.579986572266</v>
      </c>
      <c r="J161" s="34" t="n">
        <v>87.3300018310547</v>
      </c>
      <c r="L161" s="35" t="n">
        <f aca="false">IF(COUNT(N161:V161)&lt;9,"",SUMPRODUCT($B$12:$J$12,N161:V161))</f>
        <v>0.00180041064091137</v>
      </c>
      <c r="N161" s="35" t="n">
        <f aca="false">IF(OR(B161="",B160="",B160=0),"",B161/B160-1)</f>
        <v>-0.00334346238318495</v>
      </c>
      <c r="O161" s="35" t="n">
        <f aca="false">IF(OR(C161="",C160="",C160=0),"",C161/C160-1)</f>
        <v>-0.00872185748524113</v>
      </c>
      <c r="P161" s="35" t="n">
        <f aca="false">IF(OR(D161="",D160="",D160=0),"",D161/D160-1)</f>
        <v>0.00613841553057903</v>
      </c>
      <c r="Q161" s="35" t="n">
        <f aca="false">IF(OR(E161="",E160="",E160=0),"",E161/E160-1)</f>
        <v>0.008484127971776</v>
      </c>
      <c r="R161" s="35" t="n">
        <f aca="false">IF(OR(F161="",F160="",F160=0),"",F161/F160-1)</f>
        <v>0.00328805221263662</v>
      </c>
      <c r="S161" s="35" t="n">
        <f aca="false">IF(OR(G161="",G160="",G160=0),"",G161/G160-1)</f>
        <v>0.00711161394997184</v>
      </c>
      <c r="T161" s="35" t="n">
        <f aca="false">IF(OR(H161="",H160="",H160=0),"",H161/H160-1)</f>
        <v>0.0133115296330362</v>
      </c>
      <c r="U161" s="35" t="n">
        <f aca="false">IF(OR(I161="",I160="",I160=0),"",I161/I160-1)</f>
        <v>-0.000289427613291426</v>
      </c>
      <c r="V161" s="35" t="n">
        <f aca="false">IF(OR(J161="",J160="",J160=0),"",J161/J160-1)</f>
        <v>0.00379312449488167</v>
      </c>
    </row>
    <row r="162" customFormat="false" ht="15" hidden="false" customHeight="false" outlineLevel="0" collapsed="false">
      <c r="A162" s="33" t="n">
        <v>46112</v>
      </c>
      <c r="B162" s="34" t="n">
        <v>650.340026855469</v>
      </c>
      <c r="C162" s="34" t="n">
        <v>253.789993286133</v>
      </c>
      <c r="D162" s="34" t="n">
        <v>370.170013427734</v>
      </c>
      <c r="E162" s="34" t="n">
        <v>244.440002441406</v>
      </c>
      <c r="F162" s="34" t="n">
        <v>294.160003662109</v>
      </c>
      <c r="G162" s="34" t="n">
        <v>92.879997253418</v>
      </c>
      <c r="H162" s="34" t="n">
        <v>86.6900024414063</v>
      </c>
      <c r="I162" s="34" t="n">
        <v>430.290008544922</v>
      </c>
      <c r="J162" s="34" t="n">
        <v>88.6999969482422</v>
      </c>
      <c r="L162" s="35" t="n">
        <f aca="false">IF(COUNT(N162:V162)&lt;9,"",SUMPRODUCT($B$12:$J$12,N162:V162))</f>
        <v>0.0237728328380822</v>
      </c>
      <c r="N162" s="35" t="n">
        <f aca="false">IF(OR(B162="",B161="",B161=0),"",B162/B161-1)</f>
        <v>0.029067925698915</v>
      </c>
      <c r="O162" s="35" t="n">
        <f aca="false">IF(OR(C162="",C161="",C161=0),"",C162/C161-1)</f>
        <v>0.0290312949015352</v>
      </c>
      <c r="P162" s="35" t="n">
        <f aca="false">IF(OR(D162="",D161="",D161=0),"",D162/D161-1)</f>
        <v>0.0312291682624994</v>
      </c>
      <c r="Q162" s="35" t="n">
        <f aca="false">IF(OR(E162="",E161="",E161=0),"",E162/E161-1)</f>
        <v>0.00804155595722866</v>
      </c>
      <c r="R162" s="35" t="n">
        <f aca="false">IF(OR(F162="",F161="",F161=0),"",F162/F161-1)</f>
        <v>0.0366142123927573</v>
      </c>
      <c r="S162" s="35" t="n">
        <f aca="false">IF(OR(G162="",G161="",G161=0),"",G162/G161-1)</f>
        <v>0.00901677538449963</v>
      </c>
      <c r="T162" s="35" t="n">
        <f aca="false">IF(OR(H162="",H161="",H161=0),"",H162/H161-1)</f>
        <v>-0.00103706313847129</v>
      </c>
      <c r="U162" s="35" t="n">
        <f aca="false">IF(OR(I162="",I161="",I161=0),"",I162/I161-1)</f>
        <v>0.0378938262373587</v>
      </c>
      <c r="V162" s="35" t="n">
        <f aca="false">IF(OR(J162="",J161="",J161=0),"",J162/J161-1)</f>
        <v>0.0156875654238258</v>
      </c>
    </row>
    <row r="163" customFormat="false" ht="15" hidden="false" customHeight="false" outlineLevel="0" collapsed="false">
      <c r="A163" s="33" t="n">
        <v>46113</v>
      </c>
      <c r="B163" s="34" t="n">
        <v>655.239990234375</v>
      </c>
      <c r="C163" s="34" t="n">
        <v>255.630004882813</v>
      </c>
      <c r="D163" s="34" t="n">
        <v>369.369995117188</v>
      </c>
      <c r="E163" s="34" t="n">
        <v>244.119995117188</v>
      </c>
      <c r="F163" s="34" t="n">
        <v>295.380004882813</v>
      </c>
      <c r="G163" s="34" t="n">
        <v>92.8499984741211</v>
      </c>
      <c r="H163" s="34" t="n">
        <v>86.2600021362305</v>
      </c>
      <c r="I163" s="34" t="n">
        <v>437.820007324219</v>
      </c>
      <c r="J163" s="34" t="n">
        <v>89.0199966430664</v>
      </c>
      <c r="L163" s="35" t="n">
        <f aca="false">IF(COUNT(N163:V163)&lt;9,"",SUMPRODUCT($B$12:$J$12,N163:V163))</f>
        <v>0.00413968963495504</v>
      </c>
      <c r="N163" s="35" t="n">
        <f aca="false">IF(OR(B163="",B162="",B162=0),"",B163/B162-1)</f>
        <v>0.00753446378288958</v>
      </c>
      <c r="O163" s="35" t="n">
        <f aca="false">IF(OR(C163="",C162="",C162=0),"",C163/C162-1)</f>
        <v>0.00725013454177259</v>
      </c>
      <c r="P163" s="35" t="n">
        <f aca="false">IF(OR(D163="",D162="",D162=0),"",D163/D162-1)</f>
        <v>-0.00216121857937079</v>
      </c>
      <c r="Q163" s="35" t="n">
        <f aca="false">IF(OR(E163="",E162="",E162=0),"",E163/E162-1)</f>
        <v>-0.0013091446613559</v>
      </c>
      <c r="R163" s="35" t="n">
        <f aca="false">IF(OR(F163="",F162="",F162=0),"",F163/F162-1)</f>
        <v>0.00414740687216408</v>
      </c>
      <c r="S163" s="35" t="n">
        <f aca="false">IF(OR(G163="",G162="",G162=0),"",G163/G162-1)</f>
        <v>-0.000322984282773553</v>
      </c>
      <c r="T163" s="35" t="n">
        <f aca="false">IF(OR(H163="",H162="",H162=0),"",H163/H162-1)</f>
        <v>-0.00496020640288308</v>
      </c>
      <c r="U163" s="35" t="n">
        <f aca="false">IF(OR(I163="",I162="",I162=0),"",I163/I162-1)</f>
        <v>0.0174998225144958</v>
      </c>
      <c r="V163" s="35" t="n">
        <f aca="false">IF(OR(J163="",J162="",J162=0),"",J163/J162-1)</f>
        <v>0.00360766297445236</v>
      </c>
    </row>
    <row r="164" customFormat="false" ht="15" hidden="false" customHeight="false" outlineLevel="0" collapsed="false">
      <c r="A164" s="33" t="n">
        <v>46114</v>
      </c>
      <c r="B164" s="34" t="n">
        <v>655.830017089844</v>
      </c>
      <c r="C164" s="34" t="n">
        <v>255.919998168945</v>
      </c>
      <c r="D164" s="34" t="n">
        <v>373.459991455078</v>
      </c>
      <c r="E164" s="34" t="n">
        <v>243.039993286133</v>
      </c>
      <c r="F164" s="34" t="n">
        <v>294.600006103516</v>
      </c>
      <c r="G164" s="34" t="n">
        <v>93.1500015258789</v>
      </c>
      <c r="H164" s="34" t="n">
        <v>86.7900009155273</v>
      </c>
      <c r="I164" s="34" t="n">
        <v>429.410003662109</v>
      </c>
      <c r="J164" s="34" t="n">
        <v>90.2300033569336</v>
      </c>
      <c r="L164" s="35" t="n">
        <f aca="false">IF(COUNT(N164:V164)&lt;9,"",SUMPRODUCT($B$12:$J$12,N164:V164))</f>
        <v>0.000857331526110638</v>
      </c>
      <c r="N164" s="35" t="n">
        <f aca="false">IF(OR(B164="",B163="",B163=0),"",B164/B163-1)</f>
        <v>0.000900474428091602</v>
      </c>
      <c r="O164" s="35" t="n">
        <f aca="false">IF(OR(C164="",C163="",C163=0),"",C164/C163-1)</f>
        <v>0.00113442585218015</v>
      </c>
      <c r="P164" s="35" t="n">
        <f aca="false">IF(OR(D164="",D163="",D163=0),"",D164/D163-1)</f>
        <v>0.0110728981562034</v>
      </c>
      <c r="Q164" s="35" t="n">
        <f aca="false">IF(OR(E164="",E163="",E163=0),"",E164/E163-1)</f>
        <v>-0.00442406133318396</v>
      </c>
      <c r="R164" s="35" t="n">
        <f aca="false">IF(OR(F164="",F163="",F163=0),"",F164/F163-1)</f>
        <v>-0.00264066208410563</v>
      </c>
      <c r="S164" s="35" t="n">
        <f aca="false">IF(OR(G164="",G163="",G163=0),"",G164/G163-1)</f>
        <v>0.00323105069130869</v>
      </c>
      <c r="T164" s="35" t="n">
        <f aca="false">IF(OR(H164="",H163="",H163=0),"",H164/H163-1)</f>
        <v>0.00614420085985823</v>
      </c>
      <c r="U164" s="35" t="n">
        <f aca="false">IF(OR(I164="",I163="",I163=0),"",I164/I163-1)</f>
        <v>-0.0192088153154731</v>
      </c>
      <c r="V164" s="35" t="n">
        <f aca="false">IF(OR(J164="",J163="",J163=0),"",J164/J163-1)</f>
        <v>0.0135925270669108</v>
      </c>
    </row>
    <row r="165" customFormat="false" ht="15" hidden="false" customHeight="false" outlineLevel="0" collapsed="false">
      <c r="A165" s="33" t="n">
        <v>46118</v>
      </c>
      <c r="B165" s="34" t="n">
        <v>658.929992675781</v>
      </c>
      <c r="C165" s="34" t="n">
        <v>258.859985351563</v>
      </c>
      <c r="D165" s="34" t="n">
        <v>372.880004882813</v>
      </c>
      <c r="E165" s="34" t="n">
        <v>240.970001220703</v>
      </c>
      <c r="F165" s="34" t="n">
        <v>295.450012207031</v>
      </c>
      <c r="G165" s="34" t="n">
        <v>92.7300033569336</v>
      </c>
      <c r="H165" s="34" t="n">
        <v>86.6500015258789</v>
      </c>
      <c r="I165" s="34" t="n">
        <v>427.649993896484</v>
      </c>
      <c r="J165" s="34" t="n">
        <v>90.3600006103516</v>
      </c>
      <c r="L165" s="35" t="n">
        <f aca="false">IF(COUNT(N165:V165)&lt;9,"",SUMPRODUCT($B$12:$J$12,N165:V165))</f>
        <v>0.00131137975455999</v>
      </c>
      <c r="N165" s="35" t="n">
        <f aca="false">IF(OR(B165="",B164="",B164=0),"",B165/B164-1)</f>
        <v>0.00472679734863735</v>
      </c>
      <c r="O165" s="35" t="n">
        <f aca="false">IF(OR(C165="",C164="",C164=0),"",C165/C164-1)</f>
        <v>0.0114879149877032</v>
      </c>
      <c r="P165" s="35" t="n">
        <f aca="false">IF(OR(D165="",D164="",D164=0),"",D165/D164-1)</f>
        <v>-0.00155300858334317</v>
      </c>
      <c r="Q165" s="35" t="n">
        <f aca="false">IF(OR(E165="",E164="",E164=0),"",E165/E164-1)</f>
        <v>-0.00851708411213203</v>
      </c>
      <c r="R165" s="35" t="n">
        <f aca="false">IF(OR(F165="",F164="",F164=0),"",F165/F164-1)</f>
        <v>0.00288528881841343</v>
      </c>
      <c r="S165" s="35" t="n">
        <f aca="false">IF(OR(G165="",G164="",G164=0),"",G165/G164-1)</f>
        <v>-0.00450883695185589</v>
      </c>
      <c r="T165" s="35" t="n">
        <f aca="false">IF(OR(H165="",H164="",H164=0),"",H165/H164-1)</f>
        <v>-0.00161308201603383</v>
      </c>
      <c r="U165" s="35" t="n">
        <f aca="false">IF(OR(I165="",I164="",I164=0),"",I165/I164-1)</f>
        <v>-0.00409866968774653</v>
      </c>
      <c r="V165" s="35" t="n">
        <f aca="false">IF(OR(J165="",J164="",J164=0),"",J165/J164-1)</f>
        <v>0.00144073200245565</v>
      </c>
    </row>
    <row r="166" customFormat="false" ht="15" hidden="false" customHeight="false" outlineLevel="0" collapsed="false">
      <c r="A166" s="33" t="n">
        <v>46119</v>
      </c>
      <c r="B166" s="34" t="n">
        <v>659.219970703125</v>
      </c>
      <c r="C166" s="34" t="n">
        <v>253.5</v>
      </c>
      <c r="D166" s="34" t="n">
        <v>372.290008544922</v>
      </c>
      <c r="E166" s="34" t="n">
        <v>238.410003662109</v>
      </c>
      <c r="F166" s="34" t="n">
        <v>297.399993896484</v>
      </c>
      <c r="G166" s="34" t="n">
        <v>93.6699981689453</v>
      </c>
      <c r="H166" s="34" t="n">
        <v>86.6399993896484</v>
      </c>
      <c r="I166" s="34" t="n">
        <v>431.809997558594</v>
      </c>
      <c r="J166" s="34" t="n">
        <v>90.4899978637695</v>
      </c>
      <c r="L166" s="35" t="n">
        <f aca="false">IF(COUNT(N166:V166)&lt;9,"",SUMPRODUCT($B$12:$J$12,N166:V166))</f>
        <v>-0.00252655937209994</v>
      </c>
      <c r="N166" s="35" t="n">
        <f aca="false">IF(OR(B166="",B165="",B165=0),"",B166/B165-1)</f>
        <v>0.000440074105849231</v>
      </c>
      <c r="O166" s="35" t="n">
        <f aca="false">IF(OR(C166="",C165="",C165=0),"",C166/C165-1)</f>
        <v>-0.0207061178045093</v>
      </c>
      <c r="P166" s="35" t="n">
        <f aca="false">IF(OR(D166="",D165="",D165=0),"",D166/D165-1)</f>
        <v>-0.0015822686391469</v>
      </c>
      <c r="Q166" s="35" t="n">
        <f aca="false">IF(OR(E166="",E165="",E165=0),"",E166/E165-1)</f>
        <v>-0.0106237189095141</v>
      </c>
      <c r="R166" s="35" t="n">
        <f aca="false">IF(OR(F166="",F165="",F165=0),"",F166/F165-1)</f>
        <v>0.00660003929221897</v>
      </c>
      <c r="S166" s="35" t="n">
        <f aca="false">IF(OR(G166="",G165="",G165=0),"",G166/G165-1)</f>
        <v>0.0101369004419585</v>
      </c>
      <c r="T166" s="35" t="n">
        <f aca="false">IF(OR(H166="",H165="",H165=0),"",H166/H165-1)</f>
        <v>-0.000115431460523729</v>
      </c>
      <c r="U166" s="35" t="n">
        <f aca="false">IF(OR(I166="",I165="",I165=0),"",I166/I165-1)</f>
        <v>0.00972758966791187</v>
      </c>
      <c r="V166" s="35" t="n">
        <f aca="false">IF(OR(J166="",J165="",J165=0),"",J166/J165-1)</f>
        <v>0.0014386592799891</v>
      </c>
    </row>
    <row r="167" customFormat="false" ht="15" hidden="false" customHeight="false" outlineLevel="0" collapsed="false">
      <c r="A167" s="33" t="n">
        <v>46120</v>
      </c>
      <c r="B167" s="34" t="n">
        <v>676.010009765625</v>
      </c>
      <c r="C167" s="34" t="n">
        <v>258.899993896484</v>
      </c>
      <c r="D167" s="34" t="n">
        <v>374.329986572266</v>
      </c>
      <c r="E167" s="34" t="n">
        <v>241.300003051758</v>
      </c>
      <c r="F167" s="34" t="n">
        <v>307.970001220703</v>
      </c>
      <c r="G167" s="34" t="n">
        <v>94.1699981689453</v>
      </c>
      <c r="H167" s="34" t="n">
        <v>86.9199981689453</v>
      </c>
      <c r="I167" s="34" t="n">
        <v>434.529998779297</v>
      </c>
      <c r="J167" s="34" t="n">
        <v>92.120002746582</v>
      </c>
      <c r="L167" s="35" t="n">
        <f aca="false">IF(COUNT(N167:V167)&lt;9,"",SUMPRODUCT($B$12:$J$12,N167:V167))</f>
        <v>0.0161246655265818</v>
      </c>
      <c r="N167" s="35" t="n">
        <f aca="false">IF(OR(B167="",B166="",B166=0),"",B167/B166-1)</f>
        <v>0.0254695546383277</v>
      </c>
      <c r="O167" s="35" t="n">
        <f aca="false">IF(OR(C167="",C166="",C166=0),"",C167/C166-1)</f>
        <v>0.0213017510709428</v>
      </c>
      <c r="P167" s="35" t="n">
        <f aca="false">IF(OR(D167="",D166="",D166=0),"",D167/D166-1)</f>
        <v>0.00547954009111651</v>
      </c>
      <c r="Q167" s="35" t="n">
        <f aca="false">IF(OR(E167="",E166="",E166=0),"",E167/E166-1)</f>
        <v>0.0121219720030914</v>
      </c>
      <c r="R167" s="35" t="n">
        <f aca="false">IF(OR(F167="",F166="",F166=0),"",F167/F166-1)</f>
        <v>0.0355413837967264</v>
      </c>
      <c r="S167" s="35" t="n">
        <f aca="false">IF(OR(G167="",G166="",G166=0),"",G167/G166-1)</f>
        <v>0.0053378884357207</v>
      </c>
      <c r="T167" s="35" t="n">
        <f aca="false">IF(OR(H167="",H166="",H166=0),"",H167/H166-1)</f>
        <v>0.00323174955297101</v>
      </c>
      <c r="U167" s="35" t="n">
        <f aca="false">IF(OR(I167="",I166="",I166=0),"",I167/I166-1)</f>
        <v>0.00629906958171778</v>
      </c>
      <c r="V167" s="35" t="n">
        <f aca="false">IF(OR(J167="",J166="",J166=0),"",J167/J166-1)</f>
        <v>0.0180130944998631</v>
      </c>
    </row>
    <row r="168" customFormat="false" ht="15" hidden="false" customHeight="false" outlineLevel="0" collapsed="false">
      <c r="A168" s="33" t="n">
        <v>46121</v>
      </c>
      <c r="B168" s="34" t="n">
        <v>679.909973144531</v>
      </c>
      <c r="C168" s="34" t="n">
        <v>260.489990234375</v>
      </c>
      <c r="D168" s="34" t="n">
        <v>373.070007324219</v>
      </c>
      <c r="E168" s="34" t="n">
        <v>241.309997558594</v>
      </c>
      <c r="F168" s="34" t="n">
        <v>310.329986572266</v>
      </c>
      <c r="G168" s="34" t="n">
        <v>94.4800033569336</v>
      </c>
      <c r="H168" s="34" t="n">
        <v>86.6999969482422</v>
      </c>
      <c r="I168" s="34" t="n">
        <v>437.910003662109</v>
      </c>
      <c r="J168" s="34" t="n">
        <v>92.7799987792969</v>
      </c>
      <c r="L168" s="35" t="n">
        <f aca="false">IF(COUNT(N168:V168)&lt;9,"",SUMPRODUCT($B$12:$J$12,N168:V168))</f>
        <v>0.00359308495620576</v>
      </c>
      <c r="N168" s="35" t="n">
        <f aca="false">IF(OR(B168="",B167="",B167=0),"",B168/B167-1)</f>
        <v>0.00576909117108815</v>
      </c>
      <c r="O168" s="35" t="n">
        <f aca="false">IF(OR(C168="",C167="",C167=0),"",C168/C167-1)</f>
        <v>0.00614135332319377</v>
      </c>
      <c r="P168" s="35" t="n">
        <f aca="false">IF(OR(D168="",D167="",D167=0),"",D168/D167-1)</f>
        <v>-0.00336595862806677</v>
      </c>
      <c r="Q168" s="35" t="n">
        <f aca="false">IF(OR(E168="",E167="",E167=0),"",E168/E167-1)</f>
        <v>4.14194227500442E-005</v>
      </c>
      <c r="R168" s="35" t="n">
        <f aca="false">IF(OR(F168="",F167="",F167=0),"",F168/F167-1)</f>
        <v>0.00766303647176247</v>
      </c>
      <c r="S168" s="35" t="n">
        <f aca="false">IF(OR(G168="",G167="",G167=0),"",G168/G167-1)</f>
        <v>0.003291974025869</v>
      </c>
      <c r="T168" s="35" t="n">
        <f aca="false">IF(OR(H168="",H167="",H167=0),"",H168/H167-1)</f>
        <v>-0.0025310771437832</v>
      </c>
      <c r="U168" s="35" t="n">
        <f aca="false">IF(OR(I168="",I167="",I167=0),"",I168/I167-1)</f>
        <v>0.00777853057857292</v>
      </c>
      <c r="V168" s="35" t="n">
        <f aca="false">IF(OR(J168="",J167="",J167=0),"",J168/J167-1)</f>
        <v>0.00716452467473894</v>
      </c>
    </row>
    <row r="169" customFormat="false" ht="15" hidden="false" customHeight="false" outlineLevel="0" collapsed="false">
      <c r="A169" s="33" t="n">
        <v>46122</v>
      </c>
      <c r="B169" s="34" t="n">
        <v>679.460021972656</v>
      </c>
      <c r="C169" s="34" t="n">
        <v>260.480010986328</v>
      </c>
      <c r="D169" s="34" t="n">
        <v>370.869995117188</v>
      </c>
      <c r="E169" s="34" t="n">
        <v>238.460006713867</v>
      </c>
      <c r="F169" s="34" t="n">
        <v>309.869995117188</v>
      </c>
      <c r="G169" s="34" t="n">
        <v>94.0800018310547</v>
      </c>
      <c r="H169" s="34" t="n">
        <v>86.4899978637695</v>
      </c>
      <c r="I169" s="34" t="n">
        <v>437.130004882813</v>
      </c>
      <c r="J169" s="34" t="n">
        <v>92.9800033569336</v>
      </c>
      <c r="L169" s="35" t="n">
        <f aca="false">IF(COUNT(N169:V169)&lt;9,"",SUMPRODUCT($B$12:$J$12,N169:V169))</f>
        <v>-0.00270045896206268</v>
      </c>
      <c r="N169" s="35" t="n">
        <f aca="false">IF(OR(B169="",B168="",B168=0),"",B169/B168-1)</f>
        <v>-0.00066178051454957</v>
      </c>
      <c r="O169" s="35" t="n">
        <f aca="false">IF(OR(C169="",C168="",C168=0),"",C169/C168-1)</f>
        <v>-3.83095259745003E-005</v>
      </c>
      <c r="P169" s="35" t="n">
        <f aca="false">IF(OR(D169="",D168="",D168=0),"",D169/D168-1)</f>
        <v>-0.00589704925038115</v>
      </c>
      <c r="Q169" s="35" t="n">
        <f aca="false">IF(OR(E169="",E168="",E168=0),"",E169/E168-1)</f>
        <v>-0.0118104963472763</v>
      </c>
      <c r="R169" s="35" t="n">
        <f aca="false">IF(OR(F169="",F168="",F168=0),"",F169/F168-1)</f>
        <v>-0.0014822655720732</v>
      </c>
      <c r="S169" s="35" t="n">
        <f aca="false">IF(OR(G169="",G168="",G168=0),"",G169/G168-1)</f>
        <v>-0.00423371625388003</v>
      </c>
      <c r="T169" s="35" t="n">
        <f aca="false">IF(OR(H169="",H168="",H168=0),"",H169/H168-1)</f>
        <v>-0.00242213485426146</v>
      </c>
      <c r="U169" s="35" t="n">
        <f aca="false">IF(OR(I169="",I168="",I168=0),"",I169/I168-1)</f>
        <v>-0.00178118511286129</v>
      </c>
      <c r="V169" s="35" t="n">
        <f aca="false">IF(OR(J169="",J168="",J168=0),"",J169/J168-1)</f>
        <v>0.00215568635770791</v>
      </c>
    </row>
    <row r="170" customFormat="false" ht="15" hidden="false" customHeight="false" outlineLevel="0" collapsed="false">
      <c r="A170" s="33" t="n">
        <v>46125</v>
      </c>
      <c r="B170" s="34" t="n">
        <v>686.099975585938</v>
      </c>
      <c r="C170" s="34" t="n">
        <v>259.200012207031</v>
      </c>
      <c r="D170" s="34" t="n">
        <v>384.369995117188</v>
      </c>
      <c r="E170" s="34" t="n">
        <v>237.960006713867</v>
      </c>
      <c r="F170" s="34" t="n">
        <v>313.679992675781</v>
      </c>
      <c r="G170" s="34" t="n">
        <v>92.3000030517578</v>
      </c>
      <c r="H170" s="34" t="n">
        <v>86.75</v>
      </c>
      <c r="I170" s="34" t="n">
        <v>435.359985351563</v>
      </c>
      <c r="J170" s="34" t="n">
        <v>93.3300018310547</v>
      </c>
      <c r="L170" s="35" t="n">
        <f aca="false">IF(COUNT(N170:V170)&lt;9,"",SUMPRODUCT($B$12:$J$12,N170:V170))</f>
        <v>0.00593378628379925</v>
      </c>
      <c r="N170" s="35" t="n">
        <f aca="false">IF(OR(B170="",B169="",B169=0),"",B170/B169-1)</f>
        <v>0.0097723977843529</v>
      </c>
      <c r="O170" s="35" t="n">
        <f aca="false">IF(OR(C170="",C169="",C169=0),"",C170/C169-1)</f>
        <v>-0.00491400002038611</v>
      </c>
      <c r="P170" s="35" t="n">
        <f aca="false">IF(OR(D170="",D169="",D169=0),"",D170/D169-1)</f>
        <v>0.0364008956716335</v>
      </c>
      <c r="Q170" s="35" t="n">
        <f aca="false">IF(OR(E170="",E169="",E169=0),"",E170/E169-1)</f>
        <v>-0.0020967876621758</v>
      </c>
      <c r="R170" s="35" t="n">
        <f aca="false">IF(OR(F170="",F169="",F169=0),"",F170/F169-1)</f>
        <v>0.0122954710640897</v>
      </c>
      <c r="S170" s="35" t="n">
        <f aca="false">IF(OR(G170="",G169="",G169=0),"",G170/G169-1)</f>
        <v>-0.0189200546838143</v>
      </c>
      <c r="T170" s="35" t="n">
        <f aca="false">IF(OR(H170="",H169="",H169=0),"",H170/H169-1)</f>
        <v>0.00300615264946624</v>
      </c>
      <c r="U170" s="35" t="n">
        <f aca="false">IF(OR(I170="",I169="",I169=0),"",I170/I169-1)</f>
        <v>-0.00404918333557203</v>
      </c>
      <c r="V170" s="35" t="n">
        <f aca="false">IF(OR(J170="",J169="",J169=0),"",J170/J169-1)</f>
        <v>0.0037642338296926</v>
      </c>
    </row>
    <row r="171" customFormat="false" ht="15" hidden="false" customHeight="false" outlineLevel="0" collapsed="false">
      <c r="A171" s="33" t="n">
        <v>46126</v>
      </c>
      <c r="B171" s="34" t="n">
        <v>694.460021972656</v>
      </c>
      <c r="C171" s="34" t="n">
        <v>258.829986572266</v>
      </c>
      <c r="D171" s="34" t="n">
        <v>393.109985351563</v>
      </c>
      <c r="E171" s="34" t="n">
        <v>240.100006103516</v>
      </c>
      <c r="F171" s="34" t="n">
        <v>311.119995117188</v>
      </c>
      <c r="G171" s="34" t="n">
        <v>91.3099975585938</v>
      </c>
      <c r="H171" s="34" t="n">
        <v>87.2099990844727</v>
      </c>
      <c r="I171" s="34" t="n">
        <v>445.089996337891</v>
      </c>
      <c r="J171" s="34" t="n">
        <v>94.2200012207031</v>
      </c>
      <c r="L171" s="35" t="n">
        <f aca="false">IF(COUNT(N171:V171)&lt;9,"",SUMPRODUCT($B$12:$J$12,N171:V171))</f>
        <v>0.00826699319597688</v>
      </c>
      <c r="N171" s="35" t="n">
        <f aca="false">IF(OR(B171="",B170="",B170=0),"",B171/B170-1)</f>
        <v>0.0121848807523692</v>
      </c>
      <c r="O171" s="35" t="n">
        <f aca="false">IF(OR(C171="",C170="",C170=0),"",C171/C170-1)</f>
        <v>-0.00142756796812749</v>
      </c>
      <c r="P171" s="35" t="n">
        <f aca="false">IF(OR(D171="",D170="",D170=0),"",D171/D170-1)</f>
        <v>0.0227384820495948</v>
      </c>
      <c r="Q171" s="35" t="n">
        <f aca="false">IF(OR(E171="",E170="",E170=0),"",E171/E170-1)</f>
        <v>0.00899310526672759</v>
      </c>
      <c r="R171" s="35" t="n">
        <f aca="false">IF(OR(F171="",F170="",F170=0),"",F171/F170-1)</f>
        <v>-0.00816117577903353</v>
      </c>
      <c r="S171" s="35" t="n">
        <f aca="false">IF(OR(G171="",G170="",G170=0),"",G171/G170-1)</f>
        <v>-0.0107259529840843</v>
      </c>
      <c r="T171" s="35" t="n">
        <f aca="false">IF(OR(H171="",H170="",H170=0),"",H171/H170-1)</f>
        <v>0.0053025831063136</v>
      </c>
      <c r="U171" s="35" t="n">
        <f aca="false">IF(OR(I171="",I170="",I170=0),"",I171/I170-1)</f>
        <v>0.0223493460899278</v>
      </c>
      <c r="V171" s="35" t="n">
        <f aca="false">IF(OR(J171="",J170="",J170=0),"",J171/J170-1)</f>
        <v>0.00953604813229791</v>
      </c>
    </row>
    <row r="172" customFormat="false" ht="15" hidden="false" customHeight="false" outlineLevel="0" collapsed="false">
      <c r="A172" s="33" t="n">
        <v>46127</v>
      </c>
      <c r="B172" s="34" t="n">
        <v>699.940002441406</v>
      </c>
      <c r="C172" s="34" t="n">
        <v>266.429992675781</v>
      </c>
      <c r="D172" s="34" t="n">
        <v>411.220001220703</v>
      </c>
      <c r="E172" s="34" t="n">
        <v>238.669998168945</v>
      </c>
      <c r="F172" s="34" t="n">
        <v>305.929992675781</v>
      </c>
      <c r="G172" s="34" t="n">
        <v>91.2399978637695</v>
      </c>
      <c r="H172" s="34" t="n">
        <v>86.8300018310547</v>
      </c>
      <c r="I172" s="34" t="n">
        <v>440.459991455078</v>
      </c>
      <c r="J172" s="34" t="n">
        <v>94.2900009155273</v>
      </c>
      <c r="L172" s="35" t="n">
        <f aca="false">IF(COUNT(N172:V172)&lt;9,"",SUMPRODUCT($B$12:$J$12,N172:V172))</f>
        <v>0.00854292965408125</v>
      </c>
      <c r="N172" s="35" t="n">
        <f aca="false">IF(OR(B172="",B171="",B171=0),"",B172/B171-1)</f>
        <v>0.00789099486703893</v>
      </c>
      <c r="O172" s="35" t="n">
        <f aca="false">IF(OR(C172="",C171="",C171=0),"",C172/C171-1)</f>
        <v>0.0293629273955591</v>
      </c>
      <c r="P172" s="35" t="n">
        <f aca="false">IF(OR(D172="",D171="",D171=0),"",D172/D171-1)</f>
        <v>0.0460685725216163</v>
      </c>
      <c r="Q172" s="35" t="n">
        <f aca="false">IF(OR(E172="",E171="",E171=0),"",E172/E171-1)</f>
        <v>-0.00595588462398644</v>
      </c>
      <c r="R172" s="35" t="n">
        <f aca="false">IF(OR(F172="",F171="",F171=0),"",F172/F171-1)</f>
        <v>-0.0166816743470701</v>
      </c>
      <c r="S172" s="35" t="n">
        <f aca="false">IF(OR(G172="",G171="",G171=0),"",G172/G171-1)</f>
        <v>-0.00076661588759086</v>
      </c>
      <c r="T172" s="35" t="n">
        <f aca="false">IF(OR(H172="",H171="",H171=0),"",H172/H171-1)</f>
        <v>-0.00435726702679962</v>
      </c>
      <c r="U172" s="35" t="n">
        <f aca="false">IF(OR(I172="",I171="",I171=0),"",I172/I171-1)</f>
        <v>-0.0104024015837421</v>
      </c>
      <c r="V172" s="35" t="n">
        <f aca="false">IF(OR(J172="",J171="",J171=0),"",J172/J171-1)</f>
        <v>0.00074293880192422</v>
      </c>
    </row>
    <row r="173" customFormat="false" ht="15" hidden="false" customHeight="false" outlineLevel="0" collapsed="false">
      <c r="A173" s="33" t="n">
        <v>46128</v>
      </c>
      <c r="B173" s="34" t="n">
        <v>701.659973144531</v>
      </c>
      <c r="C173" s="34" t="n">
        <v>263.399993896484</v>
      </c>
      <c r="D173" s="34" t="n">
        <v>420.260009765625</v>
      </c>
      <c r="E173" s="34" t="n">
        <v>234.539993286133</v>
      </c>
      <c r="F173" s="34" t="n">
        <v>309.950012207031</v>
      </c>
      <c r="G173" s="34" t="n">
        <v>91.8300018310547</v>
      </c>
      <c r="H173" s="34" t="n">
        <v>86.2799987792969</v>
      </c>
      <c r="I173" s="34" t="n">
        <v>440.079986572266</v>
      </c>
      <c r="J173" s="34" t="n">
        <v>95.1600036621094</v>
      </c>
      <c r="L173" s="35" t="n">
        <f aca="false">IF(COUNT(N173:V173)&lt;9,"",SUMPRODUCT($B$12:$J$12,N173:V173))</f>
        <v>0.000945317506411991</v>
      </c>
      <c r="N173" s="35" t="n">
        <f aca="false">IF(OR(B173="",B172="",B172=0),"",B173/B172-1)</f>
        <v>0.00245731162260432</v>
      </c>
      <c r="O173" s="35" t="n">
        <f aca="false">IF(OR(C173="",C172="",C172=0),"",C173/C172-1)</f>
        <v>-0.0113725889073767</v>
      </c>
      <c r="P173" s="35" t="n">
        <f aca="false">IF(OR(D173="",D172="",D172=0),"",D173/D172-1)</f>
        <v>0.0219833872819581</v>
      </c>
      <c r="Q173" s="35" t="n">
        <f aca="false">IF(OR(E173="",E172="",E172=0),"",E173/E172-1)</f>
        <v>-0.017304248185767</v>
      </c>
      <c r="R173" s="35" t="n">
        <f aca="false">IF(OR(F173="",F172="",F172=0),"",F173/F172-1)</f>
        <v>0.0131403250007931</v>
      </c>
      <c r="S173" s="35" t="n">
        <f aca="false">IF(OR(G173="",G172="",G172=0),"",G173/G172-1)</f>
        <v>0.00646650571130136</v>
      </c>
      <c r="T173" s="35" t="n">
        <f aca="false">IF(OR(H173="",H172="",H172=0),"",H173/H172-1)</f>
        <v>-0.00633425129747134</v>
      </c>
      <c r="U173" s="35" t="n">
        <f aca="false">IF(OR(I173="",I172="",I172=0),"",I173/I172-1)</f>
        <v>-0.000862745516469365</v>
      </c>
      <c r="V173" s="35" t="n">
        <f aca="false">IF(OR(J173="",J172="",J172=0),"",J173/J172-1)</f>
        <v>0.00922688236435088</v>
      </c>
    </row>
    <row r="174" customFormat="false" ht="15" hidden="false" customHeight="false" outlineLevel="0" collapsed="false">
      <c r="A174" s="33" t="n">
        <v>46129</v>
      </c>
      <c r="B174" s="34" t="n">
        <v>710.140014648438</v>
      </c>
      <c r="C174" s="34" t="n">
        <v>270.230010986328</v>
      </c>
      <c r="D174" s="34" t="n">
        <v>422.790008544922</v>
      </c>
      <c r="E174" s="34" t="n">
        <v>234.179992675781</v>
      </c>
      <c r="F174" s="34" t="n">
        <v>310.290008544922</v>
      </c>
      <c r="G174" s="34" t="n">
        <v>91.9800033569336</v>
      </c>
      <c r="H174" s="34" t="n">
        <v>87.0699996948242</v>
      </c>
      <c r="I174" s="34" t="n">
        <v>445.929992675781</v>
      </c>
      <c r="J174" s="34" t="n">
        <v>96.6800003051758</v>
      </c>
      <c r="L174" s="35" t="n">
        <f aca="false">IF(COUNT(N174:V174)&lt;9,"",SUMPRODUCT($B$12:$J$12,N174:V174))</f>
        <v>0.0108475117960713</v>
      </c>
      <c r="N174" s="35" t="n">
        <f aca="false">IF(OR(B174="",B173="",B173=0),"",B174/B173-1)</f>
        <v>0.0120856851302249</v>
      </c>
      <c r="O174" s="35" t="n">
        <f aca="false">IF(OR(C174="",C173="",C173=0),"",C174/C173-1)</f>
        <v>0.0259302097498462</v>
      </c>
      <c r="P174" s="35" t="n">
        <f aca="false">IF(OR(D174="",D173="",D173=0),"",D174/D173-1)</f>
        <v>0.00602007976135521</v>
      </c>
      <c r="Q174" s="35" t="n">
        <f aca="false">IF(OR(E174="",E173="",E173=0),"",E174/E173-1)</f>
        <v>-0.00153492206300532</v>
      </c>
      <c r="R174" s="35" t="n">
        <f aca="false">IF(OR(F174="",F173="",F173=0),"",F174/F173-1)</f>
        <v>0.0010969392627862</v>
      </c>
      <c r="S174" s="35" t="n">
        <f aca="false">IF(OR(G174="",G173="",G173=0),"",G174/G173-1)</f>
        <v>0.00163346970366884</v>
      </c>
      <c r="T174" s="35" t="n">
        <f aca="false">IF(OR(H174="",H173="",H173=0),"",H174/H173-1)</f>
        <v>0.00915624625294798</v>
      </c>
      <c r="U174" s="35" t="n">
        <f aca="false">IF(OR(I174="",I173="",I173=0),"",I174/I173-1)</f>
        <v>0.0132930519042231</v>
      </c>
      <c r="V174" s="35" t="n">
        <f aca="false">IF(OR(J174="",J173="",J173=0),"",J174/J173-1)</f>
        <v>0.0159730620488787</v>
      </c>
    </row>
    <row r="175" customFormat="false" ht="15" hidden="false" customHeight="false" outlineLevel="0" collapsed="false">
      <c r="A175" s="33" t="n">
        <v>46132</v>
      </c>
      <c r="B175" s="34" t="n">
        <v>708.719970703125</v>
      </c>
      <c r="C175" s="34" t="n">
        <v>273.049987792969</v>
      </c>
      <c r="D175" s="34" t="n">
        <v>418.070007324219</v>
      </c>
      <c r="E175" s="34" t="n">
        <v>230.690002441406</v>
      </c>
      <c r="F175" s="34" t="n">
        <v>316.989990234375</v>
      </c>
      <c r="G175" s="34" t="n">
        <v>92.0100021362305</v>
      </c>
      <c r="H175" s="34" t="n">
        <v>87.0500030517578</v>
      </c>
      <c r="I175" s="34" t="n">
        <v>442.089996337891</v>
      </c>
      <c r="J175" s="34" t="n">
        <v>97.0299987792969</v>
      </c>
      <c r="L175" s="35" t="n">
        <f aca="false">IF(COUNT(N175:V175)&lt;9,"",SUMPRODUCT($B$12:$J$12,N175:V175))</f>
        <v>-0.000309823328506993</v>
      </c>
      <c r="N175" s="35" t="n">
        <f aca="false">IF(OR(B175="",B174="",B174=0),"",B175/B174-1)</f>
        <v>-0.00199966755290637</v>
      </c>
      <c r="O175" s="35" t="n">
        <f aca="false">IF(OR(C175="",C174="",C174=0),"",C175/C174-1)</f>
        <v>0.0104354686452039</v>
      </c>
      <c r="P175" s="35" t="n">
        <f aca="false">IF(OR(D175="",D174="",D174=0),"",D175/D174-1)</f>
        <v>-0.0111639374755979</v>
      </c>
      <c r="Q175" s="35" t="n">
        <f aca="false">IF(OR(E175="",E174="",E174=0),"",E175/E174-1)</f>
        <v>-0.0149030247823384</v>
      </c>
      <c r="R175" s="35" t="n">
        <f aca="false">IF(OR(F175="",F174="",F174=0),"",F175/F174-1)</f>
        <v>0.0215926439941525</v>
      </c>
      <c r="S175" s="35" t="n">
        <f aca="false">IF(OR(G175="",G174="",G174=0),"",G175/G174-1)</f>
        <v>0.000326144577104337</v>
      </c>
      <c r="T175" s="35" t="n">
        <f aca="false">IF(OR(H175="",H174="",H174=0),"",H175/H174-1)</f>
        <v>-0.00022966168756744</v>
      </c>
      <c r="U175" s="35" t="n">
        <f aca="false">IF(OR(I175="",I174="",I174=0),"",I175/I174-1)</f>
        <v>-0.0086112089362913</v>
      </c>
      <c r="V175" s="35" t="n">
        <f aca="false">IF(OR(J175="",J174="",J174=0),"",J175/J174-1)</f>
        <v>0.00362017452437224</v>
      </c>
    </row>
    <row r="176" customFormat="false" ht="15" hidden="false" customHeight="false" outlineLevel="0" collapsed="false">
      <c r="A176" s="33" t="n">
        <v>46133</v>
      </c>
      <c r="B176" s="34" t="n">
        <v>704.080017089844</v>
      </c>
      <c r="C176" s="34" t="n">
        <v>266.170013427734</v>
      </c>
      <c r="D176" s="34" t="n">
        <v>424.160003662109</v>
      </c>
      <c r="E176" s="34" t="n">
        <v>226.160003662109</v>
      </c>
      <c r="F176" s="34" t="n">
        <v>313</v>
      </c>
      <c r="G176" s="34" t="n">
        <v>90.5999984741211</v>
      </c>
      <c r="H176" s="34" t="n">
        <v>86.5699996948242</v>
      </c>
      <c r="I176" s="34" t="n">
        <v>429.570007324219</v>
      </c>
      <c r="J176" s="34" t="n">
        <v>95.3099975585938</v>
      </c>
      <c r="L176" s="35" t="n">
        <f aca="false">IF(COUNT(N176:V176)&lt;9,"",SUMPRODUCT($B$12:$J$12,N176:V176))</f>
        <v>-0.012172498455347</v>
      </c>
      <c r="N176" s="35" t="n">
        <f aca="false">IF(OR(B176="",B175="",B175=0),"",B176/B175-1)</f>
        <v>-0.00654694915493592</v>
      </c>
      <c r="O176" s="35" t="n">
        <f aca="false">IF(OR(C176="",C175="",C175=0),"",C176/C175-1)</f>
        <v>-0.0251967576371089</v>
      </c>
      <c r="P176" s="35" t="n">
        <f aca="false">IF(OR(D176="",D175="",D175=0),"",D176/D175-1)</f>
        <v>0.0145669295361988</v>
      </c>
      <c r="Q176" s="35" t="n">
        <f aca="false">IF(OR(E176="",E175="",E175=0),"",E176/E175-1)</f>
        <v>-0.0196367364487223</v>
      </c>
      <c r="R176" s="35" t="n">
        <f aca="false">IF(OR(F176="",F175="",F175=0),"",F176/F175-1)</f>
        <v>-0.01258711743997</v>
      </c>
      <c r="S176" s="35" t="n">
        <f aca="false">IF(OR(G176="",G175="",G175=0),"",G176/G175-1)</f>
        <v>-0.0153244607039759</v>
      </c>
      <c r="T176" s="35" t="n">
        <f aca="false">IF(OR(H176="",H175="",H175=0),"",H176/H175-1)</f>
        <v>-0.00551411074216956</v>
      </c>
      <c r="U176" s="35" t="n">
        <f aca="false">IF(OR(I176="",I175="",I175=0),"",I176/I175-1)</f>
        <v>-0.0283200007179149</v>
      </c>
      <c r="V176" s="35" t="n">
        <f aca="false">IF(OR(J176="",J175="",J175=0),"",J176/J175-1)</f>
        <v>-0.0177264891512097</v>
      </c>
    </row>
    <row r="177" customFormat="false" ht="15" hidden="false" customHeight="false" outlineLevel="0" collapsed="false">
      <c r="A177" s="33" t="n">
        <v>46134</v>
      </c>
      <c r="B177" s="34" t="n">
        <v>711.210021972656</v>
      </c>
      <c r="C177" s="34" t="n">
        <v>273.170013427734</v>
      </c>
      <c r="D177" s="34" t="n">
        <v>432.920013427734</v>
      </c>
      <c r="E177" s="34" t="n">
        <v>226.100006103516</v>
      </c>
      <c r="F177" s="34" t="n">
        <v>313.019989013672</v>
      </c>
      <c r="G177" s="34" t="n">
        <v>90</v>
      </c>
      <c r="H177" s="34" t="n">
        <v>86.7399978637695</v>
      </c>
      <c r="I177" s="34" t="n">
        <v>435.260009765625</v>
      </c>
      <c r="J177" s="34" t="n">
        <v>94.5199966430664</v>
      </c>
      <c r="L177" s="35" t="n">
        <f aca="false">IF(COUNT(N177:V177)&lt;9,"",SUMPRODUCT($B$12:$J$12,N177:V177))</f>
        <v>0.00954446878529611</v>
      </c>
      <c r="N177" s="35" t="n">
        <f aca="false">IF(OR(B177="",B176="",B176=0),"",B177/B176-1)</f>
        <v>0.01012669683807</v>
      </c>
      <c r="O177" s="35" t="n">
        <f aca="false">IF(OR(C177="",C176="",C176=0),"",C177/C176-1)</f>
        <v>0.0262989805269727</v>
      </c>
      <c r="P177" s="35" t="n">
        <f aca="false">IF(OR(D177="",D176="",D176=0),"",D177/D176-1)</f>
        <v>0.0206526067757282</v>
      </c>
      <c r="Q177" s="35" t="n">
        <f aca="false">IF(OR(E177="",E176="",E176=0),"",E177/E176-1)</f>
        <v>-0.00026528810409221</v>
      </c>
      <c r="R177" s="35" t="n">
        <f aca="false">IF(OR(F177="",F176="",F176=0),"",F177/F176-1)</f>
        <v>6.38626634887896E-005</v>
      </c>
      <c r="S177" s="35" t="n">
        <f aca="false">IF(OR(G177="",G176="",G176=0),"",G177/G176-1)</f>
        <v>-0.00662249982589658</v>
      </c>
      <c r="T177" s="35" t="n">
        <f aca="false">IF(OR(H177="",H176="",H176=0),"",H177/H176-1)</f>
        <v>0.00196370763017883</v>
      </c>
      <c r="U177" s="35" t="n">
        <f aca="false">IF(OR(I177="",I176="",I176=0),"",I177/I176-1)</f>
        <v>0.0132458094010075</v>
      </c>
      <c r="V177" s="35" t="n">
        <f aca="false">IF(OR(J177="",J176="",J176=0),"",J177/J176-1)</f>
        <v>-0.00828875181789535</v>
      </c>
    </row>
    <row r="178" customFormat="false" ht="15" hidden="false" customHeight="false" outlineLevel="0" collapsed="false">
      <c r="A178" s="33" t="n">
        <v>46135</v>
      </c>
      <c r="B178" s="34" t="n">
        <v>708.450012207031</v>
      </c>
      <c r="C178" s="34" t="n">
        <v>273.429992675781</v>
      </c>
      <c r="D178" s="34" t="n">
        <v>415.75</v>
      </c>
      <c r="E178" s="34" t="n">
        <v>230.649993896484</v>
      </c>
      <c r="F178" s="34" t="n">
        <v>311.690002441406</v>
      </c>
      <c r="G178" s="34" t="n">
        <v>96.25</v>
      </c>
      <c r="H178" s="34" t="n">
        <v>86.5500030517578</v>
      </c>
      <c r="I178" s="34" t="n">
        <v>431.040008544922</v>
      </c>
      <c r="J178" s="34" t="n">
        <v>95.4899978637695</v>
      </c>
      <c r="L178" s="35" t="n">
        <f aca="false">IF(COUNT(N178:V178)&lt;9,"",SUMPRODUCT($B$12:$J$12,N178:V178))</f>
        <v>-0.00141207597408155</v>
      </c>
      <c r="N178" s="35" t="n">
        <f aca="false">IF(OR(B178="",B177="",B177=0),"",B178/B177-1)</f>
        <v>-0.00388072394982519</v>
      </c>
      <c r="O178" s="35" t="n">
        <f aca="false">IF(OR(C178="",C177="",C177=0),"",C178/C177-1)</f>
        <v>0.000951712249762871</v>
      </c>
      <c r="P178" s="35" t="n">
        <f aca="false">IF(OR(D178="",D177="",D177=0),"",D178/D177-1)</f>
        <v>-0.0396609371135024</v>
      </c>
      <c r="Q178" s="35" t="n">
        <f aca="false">IF(OR(E178="",E177="",E177=0),"",E178/E177-1)</f>
        <v>0.0201237844765245</v>
      </c>
      <c r="R178" s="35" t="n">
        <f aca="false">IF(OR(F178="",F177="",F177=0),"",F178/F177-1)</f>
        <v>-0.00424888703260373</v>
      </c>
      <c r="S178" s="35" t="n">
        <f aca="false">IF(OR(G178="",G177="",G177=0),"",G178/G177-1)</f>
        <v>0.0694444444444444</v>
      </c>
      <c r="T178" s="35" t="n">
        <f aca="false">IF(OR(H178="",H177="",H177=0),"",H178/H177-1)</f>
        <v>-0.00219039447418601</v>
      </c>
      <c r="U178" s="35" t="n">
        <f aca="false">IF(OR(I178="",I177="",I177=0),"",I178/I177-1)</f>
        <v>-0.0096953570877677</v>
      </c>
      <c r="V178" s="35" t="n">
        <f aca="false">IF(OR(J178="",J177="",J177=0),"",J178/J177-1)</f>
        <v>0.0102623916118627</v>
      </c>
    </row>
    <row r="179" customFormat="false" ht="15" hidden="false" customHeight="false" outlineLevel="0" collapsed="false">
      <c r="A179" s="33" t="n">
        <v>46136</v>
      </c>
      <c r="B179" s="34" t="n">
        <v>713.940002441406</v>
      </c>
      <c r="C179" s="34" t="n">
        <v>271.059997558594</v>
      </c>
      <c r="D179" s="34" t="n">
        <v>424.619995117188</v>
      </c>
      <c r="E179" s="34" t="n">
        <v>227.5</v>
      </c>
      <c r="F179" s="34" t="n">
        <v>308.279998779297</v>
      </c>
      <c r="G179" s="34" t="n">
        <v>95.2799987792969</v>
      </c>
      <c r="H179" s="34" t="n">
        <v>86.7099990844727</v>
      </c>
      <c r="I179" s="34" t="n">
        <v>433.25</v>
      </c>
      <c r="J179" s="34" t="n">
        <v>95.3000030517578</v>
      </c>
      <c r="L179" s="35" t="n">
        <f aca="false">IF(COUNT(N179:V179)&lt;9,"",SUMPRODUCT($B$12:$J$12,N179:V179))</f>
        <v>0.000490670851221715</v>
      </c>
      <c r="N179" s="35" t="n">
        <f aca="false">IF(OR(B179="",B178="",B178=0),"",B179/B178-1)</f>
        <v>0.00774929796002422</v>
      </c>
      <c r="O179" s="35" t="n">
        <f aca="false">IF(OR(C179="",C178="",C178=0),"",C179/C178-1)</f>
        <v>-0.00866764868767433</v>
      </c>
      <c r="P179" s="35" t="n">
        <f aca="false">IF(OR(D179="",D178="",D178=0),"",D179/D178-1)</f>
        <v>0.0213349251165076</v>
      </c>
      <c r="Q179" s="35" t="n">
        <f aca="false">IF(OR(E179="",E178="",E178=0),"",E179/E178-1)</f>
        <v>-0.0136570300448294</v>
      </c>
      <c r="R179" s="35" t="n">
        <f aca="false">IF(OR(F179="",F178="",F178=0),"",F179/F178-1)</f>
        <v>-0.0109403690699065</v>
      </c>
      <c r="S179" s="35" t="n">
        <f aca="false">IF(OR(G179="",G178="",G178=0),"",G179/G178-1)</f>
        <v>-0.0100779347605516</v>
      </c>
      <c r="T179" s="35" t="n">
        <f aca="false">IF(OR(H179="",H178="",H178=0),"",H179/H178-1)</f>
        <v>0.00184859649998192</v>
      </c>
      <c r="U179" s="35" t="n">
        <f aca="false">IF(OR(I179="",I178="",I178=0),"",I179/I178-1)</f>
        <v>0.00512711444707503</v>
      </c>
      <c r="V179" s="35" t="n">
        <f aca="false">IF(OR(J179="",J178="",J178=0),"",J179/J178-1)</f>
        <v>-0.00198968285958867</v>
      </c>
    </row>
    <row r="180" customFormat="false" ht="15" hidden="false" customHeight="false" outlineLevel="0" collapsed="false">
      <c r="A180" s="33" t="n">
        <v>46139</v>
      </c>
      <c r="B180" s="34" t="n">
        <v>715.169982910156</v>
      </c>
      <c r="C180" s="34" t="n">
        <v>267.609985351563</v>
      </c>
      <c r="D180" s="34" t="n">
        <v>424.820007324219</v>
      </c>
      <c r="E180" s="34" t="n">
        <v>225.339996337891</v>
      </c>
      <c r="F180" s="34" t="n">
        <v>311.630004882813</v>
      </c>
      <c r="G180" s="34" t="n">
        <v>94.8300018310547</v>
      </c>
      <c r="H180" s="34" t="n">
        <v>86.2799987792969</v>
      </c>
      <c r="I180" s="34" t="n">
        <v>429.890014648438</v>
      </c>
      <c r="J180" s="34" t="n">
        <v>94.7799987792969</v>
      </c>
      <c r="L180" s="35" t="n">
        <f aca="false">IF(COUNT(N180:V180)&lt;9,"",SUMPRODUCT($B$12:$J$12,N180:V180))</f>
        <v>-0.00361713174585826</v>
      </c>
      <c r="N180" s="35" t="n">
        <f aca="false">IF(OR(B180="",B179="",B179=0),"",B180/B179-1)</f>
        <v>0.00172280648870204</v>
      </c>
      <c r="O180" s="35" t="n">
        <f aca="false">IF(OR(C180="",C179="",C179=0),"",C180/C179-1)</f>
        <v>-0.0127278544901676</v>
      </c>
      <c r="P180" s="35" t="n">
        <f aca="false">IF(OR(D180="",D179="",D179=0),"",D180/D179-1)</f>
        <v>0.000471038126633072</v>
      </c>
      <c r="Q180" s="35" t="n">
        <f aca="false">IF(OR(E180="",E179="",E179=0),"",E180/E179-1)</f>
        <v>-0.00949452159168795</v>
      </c>
      <c r="R180" s="35" t="n">
        <f aca="false">IF(OR(F180="",F179="",F179=0),"",F180/F179-1)</f>
        <v>0.0108667643596119</v>
      </c>
      <c r="S180" s="35" t="n">
        <f aca="false">IF(OR(G180="",G179="",G179=0),"",G180/G179-1)</f>
        <v>-0.00472288994550218</v>
      </c>
      <c r="T180" s="35" t="n">
        <f aca="false">IF(OR(H180="",H179="",H179=0),"",H180/H179-1)</f>
        <v>-0.00495906250393208</v>
      </c>
      <c r="U180" s="35" t="n">
        <f aca="false">IF(OR(I180="",I179="",I179=0),"",I180/I179-1)</f>
        <v>-0.00775530375432654</v>
      </c>
      <c r="V180" s="35" t="n">
        <f aca="false">IF(OR(J180="",J179="",J179=0),"",J180/J179-1)</f>
        <v>-0.00545649796231884</v>
      </c>
    </row>
    <row r="181" customFormat="false" ht="15" hidden="false" customHeight="false" outlineLevel="0" collapsed="false">
      <c r="A181" s="33" t="n">
        <v>46140</v>
      </c>
      <c r="B181" s="34" t="n">
        <v>711.690002441406</v>
      </c>
      <c r="C181" s="34" t="n">
        <v>270.709991455078</v>
      </c>
      <c r="D181" s="34" t="n">
        <v>429.25</v>
      </c>
      <c r="E181" s="34" t="n">
        <v>227.789993286133</v>
      </c>
      <c r="F181" s="34" t="n">
        <v>311.450012207031</v>
      </c>
      <c r="G181" s="34" t="n">
        <v>96.5100021362305</v>
      </c>
      <c r="H181" s="34" t="n">
        <v>86.370002746582</v>
      </c>
      <c r="I181" s="34" t="n">
        <v>421.910003662109</v>
      </c>
      <c r="J181" s="34" t="n">
        <v>95.6500015258789</v>
      </c>
      <c r="L181" s="35" t="n">
        <f aca="false">IF(COUNT(N181:V181)&lt;9,"",SUMPRODUCT($B$12:$J$12,N181:V181))</f>
        <v>0.00298997201876783</v>
      </c>
      <c r="N181" s="35" t="n">
        <f aca="false">IF(OR(B181="",B180="",B180=0),"",B181/B180-1)</f>
        <v>-0.00486594872814616</v>
      </c>
      <c r="O181" s="35" t="n">
        <f aca="false">IF(OR(C181="",C180="",C180=0),"",C181/C180-1)</f>
        <v>0.0115840449654465</v>
      </c>
      <c r="P181" s="35" t="n">
        <f aca="false">IF(OR(D181="",D180="",D180=0),"",D181/D180-1)</f>
        <v>0.0104279285330366</v>
      </c>
      <c r="Q181" s="35" t="n">
        <f aca="false">IF(OR(E181="",E180="",E180=0),"",E181/E180-1)</f>
        <v>0.0108724460284819</v>
      </c>
      <c r="R181" s="35" t="n">
        <f aca="false">IF(OR(F181="",F180="",F180=0),"",F181/F180-1)</f>
        <v>-0.000577584548861587</v>
      </c>
      <c r="S181" s="35" t="n">
        <f aca="false">IF(OR(G181="",G180="",G180=0),"",G181/G180-1)</f>
        <v>0.0177159155619211</v>
      </c>
      <c r="T181" s="35" t="n">
        <f aca="false">IF(OR(H181="",H180="",H180=0),"",H181/H180-1)</f>
        <v>0.00104316143438221</v>
      </c>
      <c r="U181" s="35" t="n">
        <f aca="false">IF(OR(I181="",I180="",I180=0),"",I181/I180-1)</f>
        <v>-0.0185629131043089</v>
      </c>
      <c r="V181" s="35" t="n">
        <f aca="false">IF(OR(J181="",J180="",J180=0),"",J181/J180-1)</f>
        <v>0.00917918081649138</v>
      </c>
    </row>
    <row r="182" customFormat="false" ht="15" hidden="false" customHeight="false" outlineLevel="0" collapsed="false">
      <c r="A182" s="33" t="n">
        <v>46141</v>
      </c>
      <c r="B182" s="34" t="n">
        <v>711.580017089844</v>
      </c>
      <c r="C182" s="34" t="n">
        <v>270.170013427734</v>
      </c>
      <c r="D182" s="34" t="n">
        <v>424.459991455078</v>
      </c>
      <c r="E182" s="34" t="n">
        <v>227.350006103516</v>
      </c>
      <c r="F182" s="34" t="n">
        <v>309.25</v>
      </c>
      <c r="G182" s="34" t="n">
        <v>94.1699981689453</v>
      </c>
      <c r="H182" s="34" t="n">
        <v>85.6999969482422</v>
      </c>
      <c r="I182" s="34" t="n">
        <v>417.410003662109</v>
      </c>
      <c r="J182" s="34" t="n">
        <v>94.9000015258789</v>
      </c>
      <c r="L182" s="35" t="n">
        <f aca="false">IF(COUNT(N182:V182)&lt;9,"",SUMPRODUCT($B$12:$J$12,N182:V182))</f>
        <v>-0.00608806302689163</v>
      </c>
      <c r="N182" s="35" t="n">
        <f aca="false">IF(OR(B182="",B181="",B181=0),"",B182/B181-1)</f>
        <v>-0.000154541093994265</v>
      </c>
      <c r="O182" s="35" t="n">
        <f aca="false">IF(OR(C182="",C181="",C181=0),"",C182/C181-1)</f>
        <v>-0.00199467343056536</v>
      </c>
      <c r="P182" s="35" t="n">
        <f aca="false">IF(OR(D182="",D181="",D181=0),"",D182/D181-1)</f>
        <v>-0.0111590181593989</v>
      </c>
      <c r="Q182" s="35" t="n">
        <f aca="false">IF(OR(E182="",E181="",E181=0),"",E182/E181-1)</f>
        <v>-0.00193154745855906</v>
      </c>
      <c r="R182" s="35" t="n">
        <f aca="false">IF(OR(F182="",F181="",F181=0),"",F182/F181-1)</f>
        <v>-0.00706377306406592</v>
      </c>
      <c r="S182" s="35" t="n">
        <f aca="false">IF(OR(G182="",G181="",G181=0),"",G182/G181-1)</f>
        <v>-0.0242462326752633</v>
      </c>
      <c r="T182" s="35" t="n">
        <f aca="false">IF(OR(H182="",H181="",H181=0),"",H182/H181-1)</f>
        <v>-0.00775739003164866</v>
      </c>
      <c r="U182" s="35" t="n">
        <f aca="false">IF(OR(I182="",I181="",I181=0),"",I182/I181-1)</f>
        <v>-0.0106657817092288</v>
      </c>
      <c r="V182" s="35" t="n">
        <f aca="false">IF(OR(J182="",J181="",J181=0),"",J182/J181-1)</f>
        <v>-0.00784108717235177</v>
      </c>
    </row>
    <row r="183" customFormat="false" ht="15" hidden="false" customHeight="false" outlineLevel="0" collapsed="false">
      <c r="A183" s="33" t="n">
        <v>46142</v>
      </c>
      <c r="B183" s="34" t="n">
        <v>718.659973144531</v>
      </c>
      <c r="C183" s="34" t="n">
        <v>271.350006103516</v>
      </c>
      <c r="D183" s="34" t="n">
        <v>407.779998779297</v>
      </c>
      <c r="E183" s="34" t="n">
        <v>229.850006103516</v>
      </c>
      <c r="F183" s="34" t="n">
        <v>313.230010986328</v>
      </c>
      <c r="G183" s="34" t="n">
        <v>97.879997253418</v>
      </c>
      <c r="H183" s="34" t="n">
        <v>85.620002746582</v>
      </c>
      <c r="I183" s="34" t="n">
        <v>423.660003662109</v>
      </c>
      <c r="J183" s="34" t="n">
        <v>96.3300018310547</v>
      </c>
      <c r="L183" s="35" t="n">
        <f aca="false">IF(COUNT(N183:V183)&lt;9,"",SUMPRODUCT($B$12:$J$12,N183:V183))</f>
        <v>0.00420016125940111</v>
      </c>
      <c r="N183" s="35" t="n">
        <f aca="false">IF(OR(B183="",B182="",B182=0),"",B183/B182-1)</f>
        <v>0.00994962742720351</v>
      </c>
      <c r="O183" s="35" t="n">
        <f aca="false">IF(OR(C183="",C182="",C182=0),"",C183/C182-1)</f>
        <v>0.00436759306042545</v>
      </c>
      <c r="P183" s="35" t="n">
        <f aca="false">IF(OR(D183="",D182="",D182=0),"",D183/D182-1)</f>
        <v>-0.0392969726512995</v>
      </c>
      <c r="Q183" s="35" t="n">
        <f aca="false">IF(OR(E183="",E182="",E182=0),"",E183/E182-1)</f>
        <v>0.0109962609759584</v>
      </c>
      <c r="R183" s="35" t="n">
        <f aca="false">IF(OR(F183="",F182="",F182=0),"",F183/F182-1)</f>
        <v>0.012869881928304</v>
      </c>
      <c r="S183" s="35" t="n">
        <f aca="false">IF(OR(G183="",G182="",G182=0),"",G183/G182-1)</f>
        <v>0.0393968265542153</v>
      </c>
      <c r="T183" s="35" t="n">
        <f aca="false">IF(OR(H183="",H182="",H182=0),"",H183/H182-1)</f>
        <v>-0.000933421289483927</v>
      </c>
      <c r="U183" s="35" t="n">
        <f aca="false">IF(OR(I183="",I182="",I182=0),"",I183/I182-1)</f>
        <v>0.0149732875234569</v>
      </c>
      <c r="V183" s="35" t="n">
        <f aca="false">IF(OR(J183="",J182="",J182=0),"",J183/J182-1)</f>
        <v>0.0150684961241634</v>
      </c>
    </row>
    <row r="184" customFormat="false" ht="15" hidden="false" customHeight="false" outlineLevel="0" collapsed="false">
      <c r="A184" s="33" t="n">
        <v>46143</v>
      </c>
      <c r="B184" s="34" t="n">
        <v>720.650024414063</v>
      </c>
      <c r="C184" s="34" t="n">
        <v>280.140014648438</v>
      </c>
      <c r="D184" s="34" t="n">
        <v>414.440002441406</v>
      </c>
      <c r="E184" s="34" t="n">
        <v>227.190002441406</v>
      </c>
      <c r="F184" s="34" t="n">
        <v>312.470001220703</v>
      </c>
      <c r="G184" s="34" t="n">
        <v>96.9499969482422</v>
      </c>
      <c r="H184" s="34" t="n">
        <v>85.6100006103516</v>
      </c>
      <c r="I184" s="34" t="n">
        <v>423.179992675781</v>
      </c>
      <c r="J184" s="34" t="n">
        <v>96.0599975585938</v>
      </c>
      <c r="L184" s="35" t="n">
        <f aca="false">IF(COUNT(N184:V184)&lt;9,"",SUMPRODUCT($B$12:$J$12,N184:V184))</f>
        <v>0.00576534049764531</v>
      </c>
      <c r="N184" s="35" t="n">
        <f aca="false">IF(OR(B184="",B183="",B183=0),"",B184/B183-1)</f>
        <v>0.00276911382837186</v>
      </c>
      <c r="O184" s="35" t="n">
        <f aca="false">IF(OR(C184="",C183="",C183=0),"",C184/C183-1)</f>
        <v>0.0323936183792408</v>
      </c>
      <c r="P184" s="35" t="n">
        <f aca="false">IF(OR(D184="",D183="",D183=0),"",D184/D183-1)</f>
        <v>0.016332345093055</v>
      </c>
      <c r="Q184" s="35" t="n">
        <f aca="false">IF(OR(E184="",E183="",E183=0),"",E184/E183-1)</f>
        <v>-0.0115727804719398</v>
      </c>
      <c r="R184" s="35" t="n">
        <f aca="false">IF(OR(F184="",F183="",F183=0),"",F184/F183-1)</f>
        <v>-0.00242636318030898</v>
      </c>
      <c r="S184" s="35" t="n">
        <f aca="false">IF(OR(G184="",G183="",G183=0),"",G184/G183-1)</f>
        <v>-0.00950143370731771</v>
      </c>
      <c r="T184" s="35" t="n">
        <f aca="false">IF(OR(H184="",H183="",H183=0),"",H184/H183-1)</f>
        <v>-0.000116820087707747</v>
      </c>
      <c r="U184" s="35" t="n">
        <f aca="false">IF(OR(I184="",I183="",I183=0),"",I184/I183-1)</f>
        <v>-0.00113300991875265</v>
      </c>
      <c r="V184" s="35" t="n">
        <f aca="false">IF(OR(J184="",J183="",J183=0),"",J184/J183-1)</f>
        <v>-0.00280290945010497</v>
      </c>
    </row>
    <row r="185" customFormat="false" ht="15" hidden="false" customHeight="false" outlineLevel="0" collapsed="false">
      <c r="A185" s="33" t="n">
        <v>46146</v>
      </c>
      <c r="B185" s="34" t="n">
        <v>718.010009765625</v>
      </c>
      <c r="C185" s="34" t="n">
        <v>276.829986572266</v>
      </c>
      <c r="D185" s="34" t="n">
        <v>413.619995117188</v>
      </c>
      <c r="E185" s="34" t="n">
        <v>224.199996948242</v>
      </c>
      <c r="F185" s="34" t="n">
        <v>307.649993896484</v>
      </c>
      <c r="G185" s="34" t="n">
        <v>95.5100021362305</v>
      </c>
      <c r="H185" s="34" t="n">
        <v>84.9599990844727</v>
      </c>
      <c r="I185" s="34" t="n">
        <v>414.709991455078</v>
      </c>
      <c r="J185" s="34" t="n">
        <v>95.4599990844727</v>
      </c>
      <c r="L185" s="35" t="n">
        <f aca="false">IF(COUNT(N185:V185)&lt;9,"",SUMPRODUCT($B$12:$J$12,N185:V185))</f>
        <v>-0.00958428110248778</v>
      </c>
      <c r="N185" s="35" t="n">
        <f aca="false">IF(OR(B185="",B184="",B184=0),"",B185/B184-1)</f>
        <v>-0.00366337966974251</v>
      </c>
      <c r="O185" s="35" t="n">
        <f aca="false">IF(OR(C185="",C184="",C184=0),"",C185/C184-1)</f>
        <v>-0.0118156204151196</v>
      </c>
      <c r="P185" s="35" t="n">
        <f aca="false">IF(OR(D185="",D184="",D184=0),"",D185/D184-1)</f>
        <v>-0.00197859115767651</v>
      </c>
      <c r="Q185" s="35" t="n">
        <f aca="false">IF(OR(E185="",E184="",E184=0),"",E185/E184-1)</f>
        <v>-0.0131608145650474</v>
      </c>
      <c r="R185" s="35" t="n">
        <f aca="false">IF(OR(F185="",F184="",F184=0),"",F185/F184-1)</f>
        <v>-0.0154255042256507</v>
      </c>
      <c r="S185" s="35" t="n">
        <f aca="false">IF(OR(G185="",G184="",G184=0),"",G185/G184-1)</f>
        <v>-0.0148529639746194</v>
      </c>
      <c r="T185" s="35" t="n">
        <f aca="false">IF(OR(H185="",H184="",H184=0),"",H185/H184-1)</f>
        <v>-0.00759258873081137</v>
      </c>
      <c r="U185" s="35" t="n">
        <f aca="false">IF(OR(I185="",I184="",I184=0),"",I185/I184-1)</f>
        <v>-0.0200151268190798</v>
      </c>
      <c r="V185" s="35" t="n">
        <f aca="false">IF(OR(J185="",J184="",J184=0),"",J185/J184-1)</f>
        <v>-0.00624608046398423</v>
      </c>
    </row>
    <row r="186" customFormat="false" ht="15" hidden="false" customHeight="false" outlineLevel="0" collapsed="false">
      <c r="A186" s="33" t="n">
        <v>46147</v>
      </c>
      <c r="B186" s="34" t="n">
        <v>723.77001953125</v>
      </c>
      <c r="C186" s="34" t="n">
        <v>284.179992675781</v>
      </c>
      <c r="D186" s="34" t="n">
        <v>411.380004882813</v>
      </c>
      <c r="E186" s="34" t="n">
        <v>225.550003051758</v>
      </c>
      <c r="F186" s="34" t="n">
        <v>309.399993896484</v>
      </c>
      <c r="G186" s="34" t="n">
        <v>96.2799987792969</v>
      </c>
      <c r="H186" s="34" t="n">
        <v>85.4300003051758</v>
      </c>
      <c r="I186" s="34" t="n">
        <v>418.269989013672</v>
      </c>
      <c r="J186" s="34" t="n">
        <v>95.7600021362305</v>
      </c>
      <c r="L186" s="35" t="n">
        <f aca="false">IF(COUNT(N186:V186)&lt;9,"",SUMPRODUCT($B$12:$J$12,N186:V186))</f>
        <v>0.0084070685956893</v>
      </c>
      <c r="N186" s="35" t="n">
        <f aca="false">IF(OR(B186="",B185="",B185=0),"",B186/B185-1)</f>
        <v>0.00802218588499226</v>
      </c>
      <c r="O186" s="35" t="n">
        <f aca="false">IF(OR(C186="",C185="",C185=0),"",C186/C185-1)</f>
        <v>0.0265506139509071</v>
      </c>
      <c r="P186" s="35" t="n">
        <f aca="false">IF(OR(D186="",D185="",D185=0),"",D186/D185-1)</f>
        <v>-0.00541557531264991</v>
      </c>
      <c r="Q186" s="35" t="n">
        <f aca="false">IF(OR(E186="",E185="",E185=0),"",E186/E185-1)</f>
        <v>0.00602143676133804</v>
      </c>
      <c r="R186" s="35" t="n">
        <f aca="false">IF(OR(F186="",F185="",F185=0),"",F186/F185-1)</f>
        <v>0.00568828225164486</v>
      </c>
      <c r="S186" s="35" t="n">
        <f aca="false">IF(OR(G186="",G185="",G185=0),"",G186/G185-1)</f>
        <v>0.0080619477106505</v>
      </c>
      <c r="T186" s="35" t="n">
        <f aca="false">IF(OR(H186="",H185="",H185=0),"",H186/H185-1)</f>
        <v>0.00553202949350062</v>
      </c>
      <c r="U186" s="35" t="n">
        <f aca="false">IF(OR(I186="",I185="",I185=0),"",I186/I185-1)</f>
        <v>0.00858430621867368</v>
      </c>
      <c r="V186" s="35" t="n">
        <f aca="false">IF(OR(J186="",J185="",J185=0),"",J186/J185-1)</f>
        <v>0.0031427095603922</v>
      </c>
    </row>
    <row r="187" customFormat="false" ht="15" hidden="false" customHeight="false" outlineLevel="0" collapsed="false">
      <c r="A187" s="33" t="n">
        <v>46148</v>
      </c>
      <c r="B187" s="34" t="n">
        <v>733.830017089844</v>
      </c>
      <c r="C187" s="34" t="n">
        <v>287.510009765625</v>
      </c>
      <c r="D187" s="34" t="n">
        <v>413.959991455078</v>
      </c>
      <c r="E187" s="34" t="n">
        <v>224.619995117188</v>
      </c>
      <c r="F187" s="34" t="n">
        <v>314.899993896484</v>
      </c>
      <c r="G187" s="34" t="n">
        <v>95.3899993896484</v>
      </c>
      <c r="H187" s="34" t="n">
        <v>86.0800018310547</v>
      </c>
      <c r="I187" s="34" t="n">
        <v>430.959991455078</v>
      </c>
      <c r="J187" s="34" t="n">
        <v>97.0899963378906</v>
      </c>
      <c r="L187" s="35" t="n">
        <f aca="false">IF(COUNT(N187:V187)&lt;9,"",SUMPRODUCT($B$12:$J$12,N187:V187))</f>
        <v>0.0110942750906785</v>
      </c>
      <c r="N187" s="35" t="n">
        <f aca="false">IF(OR(B187="",B186="",B186=0),"",B187/B186-1)</f>
        <v>0.0138994394450178</v>
      </c>
      <c r="O187" s="35" t="n">
        <f aca="false">IF(OR(C187="",C186="",C186=0),"",C187/C186-1)</f>
        <v>0.0117179856980403</v>
      </c>
      <c r="P187" s="35" t="n">
        <f aca="false">IF(OR(D187="",D186="",D186=0),"",D187/D186-1)</f>
        <v>0.00627154101230554</v>
      </c>
      <c r="Q187" s="35" t="n">
        <f aca="false">IF(OR(E187="",E186="",E186=0),"",E187/E186-1)</f>
        <v>-0.00412328939032014</v>
      </c>
      <c r="R187" s="35" t="n">
        <f aca="false">IF(OR(F187="",F186="",F186=0),"",F187/F186-1)</f>
        <v>0.0177763416564258</v>
      </c>
      <c r="S187" s="35" t="n">
        <f aca="false">IF(OR(G187="",G186="",G186=0),"",G187/G186-1)</f>
        <v>-0.00924386581774539</v>
      </c>
      <c r="T187" s="35" t="n">
        <f aca="false">IF(OR(H187="",H186="",H186=0),"",H187/H186-1)</f>
        <v>0.00760858625256877</v>
      </c>
      <c r="U187" s="35" t="n">
        <f aca="false">IF(OR(I187="",I186="",I186=0),"",I187/I186-1)</f>
        <v>0.0303392611823059</v>
      </c>
      <c r="V187" s="35" t="n">
        <f aca="false">IF(OR(J187="",J186="",J186=0),"",J187/J186-1)</f>
        <v>0.0138888280283036</v>
      </c>
    </row>
    <row r="188" customFormat="false" ht="15" hidden="false" customHeight="false" outlineLevel="0" collapsed="false">
      <c r="A188" s="33" t="n">
        <v>46149</v>
      </c>
      <c r="B188" s="34" t="n">
        <v>731.580017089844</v>
      </c>
      <c r="C188" s="34" t="n">
        <v>287.440002441406</v>
      </c>
      <c r="D188" s="34" t="n">
        <v>420.769989013672</v>
      </c>
      <c r="E188" s="34" t="n">
        <v>222.509994506836</v>
      </c>
      <c r="F188" s="34" t="n">
        <v>306.269989013672</v>
      </c>
      <c r="G188" s="34" t="n">
        <v>93.3199996948242</v>
      </c>
      <c r="H188" s="34" t="n">
        <v>85.6500015258789</v>
      </c>
      <c r="I188" s="34" t="n">
        <v>431.679992675781</v>
      </c>
      <c r="J188" s="34" t="n">
        <v>96.3899993896484</v>
      </c>
      <c r="L188" s="35" t="n">
        <f aca="false">IF(COUNT(N188:V188)&lt;9,"",SUMPRODUCT($B$12:$J$12,N188:V188))</f>
        <v>-0.00380633519720334</v>
      </c>
      <c r="N188" s="35" t="n">
        <f aca="false">IF(OR(B188="",B187="",B187=0),"",B188/B187-1)</f>
        <v>-0.0030661051573263</v>
      </c>
      <c r="O188" s="35" t="n">
        <f aca="false">IF(OR(C188="",C187="",C187=0),"",C188/C187-1)</f>
        <v>-0.000243495258742676</v>
      </c>
      <c r="P188" s="35" t="n">
        <f aca="false">IF(OR(D188="",D187="",D187=0),"",D188/D187-1)</f>
        <v>0.0164508592597481</v>
      </c>
      <c r="Q188" s="35" t="n">
        <f aca="false">IF(OR(E188="",E187="",E187=0),"",E188/E187-1)</f>
        <v>-0.00939364551784983</v>
      </c>
      <c r="R188" s="35" t="n">
        <f aca="false">IF(OR(F188="",F187="",F187=0),"",F188/F187-1)</f>
        <v>-0.027405541600769</v>
      </c>
      <c r="S188" s="35" t="n">
        <f aca="false">IF(OR(G188="",G187="",G187=0),"",G188/G187-1)</f>
        <v>-0.0217003848209357</v>
      </c>
      <c r="T188" s="35" t="n">
        <f aca="false">IF(OR(H188="",H187="",H187=0),"",H188/H187-1)</f>
        <v>-0.0049953565988502</v>
      </c>
      <c r="U188" s="35" t="n">
        <f aca="false">IF(OR(I188="",I187="",I187=0),"",I188/I187-1)</f>
        <v>0.0016706915606528</v>
      </c>
      <c r="V188" s="35" t="n">
        <f aca="false">IF(OR(J188="",J187="",J187=0),"",J188/J187-1)</f>
        <v>-0.00720977417494262</v>
      </c>
    </row>
    <row r="189" customFormat="false" ht="15" hidden="false" customHeight="false" outlineLevel="0" collapsed="false">
      <c r="A189" s="33" t="n">
        <v>46150</v>
      </c>
      <c r="B189" s="34" t="n">
        <v>737.619995117188</v>
      </c>
      <c r="C189" s="34" t="n">
        <v>293.320007324219</v>
      </c>
      <c r="D189" s="34" t="n">
        <v>415.119995117188</v>
      </c>
      <c r="E189" s="34" t="n">
        <v>221.320007324219</v>
      </c>
      <c r="F189" s="34" t="n">
        <v>302.100006103516</v>
      </c>
      <c r="G189" s="34" t="n">
        <v>93.0999984741211</v>
      </c>
      <c r="H189" s="34" t="n">
        <v>86.0800018310547</v>
      </c>
      <c r="I189" s="34" t="n">
        <v>433.769989013672</v>
      </c>
      <c r="J189" s="34" t="n">
        <v>96.620002746582</v>
      </c>
      <c r="L189" s="35" t="n">
        <f aca="false">IF(COUNT(N189:V189)&lt;9,"",SUMPRODUCT($B$12:$J$12,N189:V189))</f>
        <v>0.0025802651077323</v>
      </c>
      <c r="N189" s="35" t="n">
        <f aca="false">IF(OR(B189="",B188="",B188=0),"",B189/B188-1)</f>
        <v>0.00825607300124243</v>
      </c>
      <c r="O189" s="35" t="n">
        <f aca="false">IF(OR(C189="",C188="",C188=0),"",C189/C188-1)</f>
        <v>0.020456459897267</v>
      </c>
      <c r="P189" s="35" t="n">
        <f aca="false">IF(OR(D189="",D188="",D188=0),"",D189/D188-1)</f>
        <v>-0.0134277492311848</v>
      </c>
      <c r="Q189" s="35" t="n">
        <f aca="false">IF(OR(E189="",E188="",E188=0),"",E189/E188-1)</f>
        <v>-0.00534801677225527</v>
      </c>
      <c r="R189" s="35" t="n">
        <f aca="false">IF(OR(F189="",F188="",F188=0),"",F189/F188-1)</f>
        <v>-0.0136153820476671</v>
      </c>
      <c r="S189" s="35" t="n">
        <f aca="false">IF(OR(G189="",G188="",G188=0),"",G189/G188-1)</f>
        <v>-0.00235749272848862</v>
      </c>
      <c r="T189" s="35" t="n">
        <f aca="false">IF(OR(H189="",H188="",H188=0),"",H189/H188-1)</f>
        <v>0.00502043546427577</v>
      </c>
      <c r="U189" s="35" t="n">
        <f aca="false">IF(OR(I189="",I188="",I188=0),"",I189/I188-1)</f>
        <v>0.0048415408945317</v>
      </c>
      <c r="V189" s="35" t="n">
        <f aca="false">IF(OR(J189="",J188="",J188=0),"",J189/J188-1)</f>
        <v>0.00238617448272649</v>
      </c>
    </row>
    <row r="190" customFormat="false" ht="15" hidden="false" customHeight="false" outlineLevel="0" collapsed="false">
      <c r="A190" s="33" t="n">
        <v>46153</v>
      </c>
      <c r="B190" s="34" t="n">
        <v>739.299987792969</v>
      </c>
      <c r="C190" s="34" t="n">
        <v>292.679992675781</v>
      </c>
      <c r="D190" s="34" t="n">
        <v>412.660003662109</v>
      </c>
      <c r="E190" s="34" t="n">
        <v>221.429992675781</v>
      </c>
      <c r="F190" s="34" t="n">
        <v>300</v>
      </c>
      <c r="G190" s="34" t="n">
        <v>94.8399963378906</v>
      </c>
      <c r="H190" s="34" t="n">
        <v>85.5599975585938</v>
      </c>
      <c r="I190" s="34" t="n">
        <v>434.649993896484</v>
      </c>
      <c r="J190" s="34" t="n">
        <v>96.6900024414063</v>
      </c>
      <c r="L190" s="35" t="n">
        <f aca="false">IF(COUNT(N190:V190)&lt;9,"",SUMPRODUCT($B$12:$J$12,N190:V190))</f>
        <v>-0.000819446297333776</v>
      </c>
      <c r="N190" s="35" t="n">
        <f aca="false">IF(OR(B190="",B189="",B189=0),"",B190/B189-1)</f>
        <v>0.00227758559543134</v>
      </c>
      <c r="O190" s="35" t="n">
        <f aca="false">IF(OR(C190="",C189="",C189=0),"",C190/C189-1)</f>
        <v>-0.00218196724552278</v>
      </c>
      <c r="P190" s="35" t="n">
        <f aca="false">IF(OR(D190="",D189="",D189=0),"",D190/D189-1)</f>
        <v>-0.00592597678746976</v>
      </c>
      <c r="Q190" s="35" t="n">
        <f aca="false">IF(OR(E190="",E189="",E189=0),"",E190/E189-1)</f>
        <v>0.000496951689509251</v>
      </c>
      <c r="R190" s="35" t="n">
        <f aca="false">IF(OR(F190="",F189="",F189=0),"",F190/F189-1)</f>
        <v>-0.00695136067887547</v>
      </c>
      <c r="S190" s="35" t="n">
        <f aca="false">IF(OR(G190="",G189="",G189=0),"",G190/G189-1)</f>
        <v>0.0186895584563642</v>
      </c>
      <c r="T190" s="35" t="n">
        <f aca="false">IF(OR(H190="",H189="",H189=0),"",H190/H189-1)</f>
        <v>-0.0060409416984154</v>
      </c>
      <c r="U190" s="35" t="n">
        <f aca="false">IF(OR(I190="",I189="",I189=0),"",I190/I189-1)</f>
        <v>0.00202873620835997</v>
      </c>
      <c r="V190" s="35" t="n">
        <f aca="false">IF(OR(J190="",J189="",J189=0),"",J190/J189-1)</f>
        <v>0.000724484504599943</v>
      </c>
    </row>
    <row r="191" customFormat="false" ht="15" hidden="false" customHeight="false" outlineLevel="0" collapsed="false">
      <c r="A191" s="33" t="n">
        <v>46154</v>
      </c>
      <c r="B191" s="34" t="n">
        <v>738.179992675781</v>
      </c>
      <c r="C191" s="34" t="n">
        <v>294.799987792969</v>
      </c>
      <c r="D191" s="34" t="n">
        <v>407.769989013672</v>
      </c>
      <c r="E191" s="34" t="n">
        <v>224.259994506836</v>
      </c>
      <c r="F191" s="34" t="n">
        <v>304.880004882813</v>
      </c>
      <c r="G191" s="34" t="n">
        <v>94.5899963378906</v>
      </c>
      <c r="H191" s="34" t="n">
        <v>84.9899978637695</v>
      </c>
      <c r="I191" s="34" t="n">
        <v>432.929992675781</v>
      </c>
      <c r="J191" s="34" t="n">
        <v>96.6900024414063</v>
      </c>
      <c r="L191" s="35" t="n">
        <f aca="false">IF(COUNT(N191:V191)&lt;9,"",SUMPRODUCT($B$12:$J$12,N191:V191))</f>
        <v>0.00100580850763881</v>
      </c>
      <c r="N191" s="35" t="n">
        <f aca="false">IF(OR(B191="",B190="",B190=0),"",B191/B190-1)</f>
        <v>-0.00151493999145258</v>
      </c>
      <c r="O191" s="35" t="n">
        <f aca="false">IF(OR(C191="",C190="",C190=0),"",C191/C190-1)</f>
        <v>0.00724338926554635</v>
      </c>
      <c r="P191" s="35" t="n">
        <f aca="false">IF(OR(D191="",D190="",D190=0),"",D191/D190-1)</f>
        <v>-0.0118499845030802</v>
      </c>
      <c r="Q191" s="35" t="n">
        <f aca="false">IF(OR(E191="",E190="",E190=0),"",E191/E190-1)</f>
        <v>0.012780571398016</v>
      </c>
      <c r="R191" s="35" t="n">
        <f aca="false">IF(OR(F191="",F190="",F190=0),"",F191/F190-1)</f>
        <v>0.0162666829427101</v>
      </c>
      <c r="S191" s="35" t="n">
        <f aca="false">IF(OR(G191="",G190="",G190=0),"",G191/G190-1)</f>
        <v>-0.0026360186593567</v>
      </c>
      <c r="T191" s="35" t="n">
        <f aca="false">IF(OR(H191="",H190="",H190=0),"",H191/H190-1)</f>
        <v>-0.00666198820814545</v>
      </c>
      <c r="U191" s="35" t="n">
        <f aca="false">IF(OR(I191="",I190="",I190=0),"",I191/I190-1)</f>
        <v>-0.00395720981216119</v>
      </c>
      <c r="V191" s="35" t="n">
        <f aca="false">IF(OR(J191="",J190="",J190=0),"",J191/J190-1)</f>
        <v>0</v>
      </c>
    </row>
    <row r="192" customFormat="false" ht="15" hidden="false" customHeight="false" outlineLevel="0" collapsed="false">
      <c r="A192" s="33" t="n">
        <v>46155</v>
      </c>
      <c r="B192" s="34" t="n">
        <v>742.309997558594</v>
      </c>
      <c r="C192" s="34" t="n">
        <v>298.869995117188</v>
      </c>
      <c r="D192" s="34" t="n">
        <v>405.209991455078</v>
      </c>
      <c r="E192" s="34" t="n">
        <v>230.419998168945</v>
      </c>
      <c r="F192" s="34" t="n">
        <v>300.25</v>
      </c>
      <c r="G192" s="34" t="n">
        <v>94.8499984741211</v>
      </c>
      <c r="H192" s="34" t="n">
        <v>84.8000030517578</v>
      </c>
      <c r="I192" s="34" t="n">
        <v>430.5</v>
      </c>
      <c r="J192" s="34" t="n">
        <v>95.8899993896484</v>
      </c>
      <c r="L192" s="35" t="n">
        <f aca="false">IF(COUNT(N192:V192)&lt;9,"",SUMPRODUCT($B$12:$J$12,N192:V192))</f>
        <v>0.00277854614460472</v>
      </c>
      <c r="N192" s="35" t="n">
        <f aca="false">IF(OR(B192="",B191="",B191=0),"",B192/B191-1)</f>
        <v>0.0055948480367809</v>
      </c>
      <c r="O192" s="35" t="n">
        <f aca="false">IF(OR(C192="",C191="",C191=0),"",C192/C191-1)</f>
        <v>0.0138059955656351</v>
      </c>
      <c r="P192" s="35" t="n">
        <f aca="false">IF(OR(D192="",D191="",D191=0),"",D192/D191-1)</f>
        <v>-0.00627804308204771</v>
      </c>
      <c r="Q192" s="35" t="n">
        <f aca="false">IF(OR(E192="",E191="",E191=0),"",E192/E191-1)</f>
        <v>0.0274681343663425</v>
      </c>
      <c r="R192" s="35" t="n">
        <f aca="false">IF(OR(F192="",F191="",F191=0),"",F192/F191-1)</f>
        <v>-0.0151863185799693</v>
      </c>
      <c r="S192" s="35" t="n">
        <f aca="false">IF(OR(G192="",G191="",G191=0),"",G192/G191-1)</f>
        <v>0.00274872762762057</v>
      </c>
      <c r="T192" s="35" t="n">
        <f aca="false">IF(OR(H192="",H191="",H191=0),"",H192/H191-1)</f>
        <v>-0.00223549613821905</v>
      </c>
      <c r="U192" s="35" t="n">
        <f aca="false">IF(OR(I192="",I191="",I191=0),"",I192/I191-1)</f>
        <v>-0.00561289981496116</v>
      </c>
      <c r="V192" s="35" t="n">
        <f aca="false">IF(OR(J192="",J191="",J191=0),"",J192/J191-1)</f>
        <v>-0.0082738962825315</v>
      </c>
    </row>
    <row r="193" customFormat="false" ht="15" hidden="false" customHeight="false" outlineLevel="0" collapsed="false">
      <c r="A193" s="33" t="n">
        <v>46156</v>
      </c>
      <c r="B193" s="34" t="n">
        <v>748.169982910156</v>
      </c>
      <c r="C193" s="34" t="n">
        <v>298.209991455078</v>
      </c>
      <c r="D193" s="34" t="n">
        <v>409.429992675781</v>
      </c>
      <c r="E193" s="34" t="n">
        <v>230.800003051758</v>
      </c>
      <c r="F193" s="34" t="n">
        <v>299.910003662109</v>
      </c>
      <c r="G193" s="34" t="n">
        <v>95.6800003051758</v>
      </c>
      <c r="H193" s="34" t="n">
        <v>84.9199981689453</v>
      </c>
      <c r="I193" s="34" t="n">
        <v>427.209991455078</v>
      </c>
      <c r="J193" s="34" t="n">
        <v>95.3199996948242</v>
      </c>
      <c r="L193" s="35" t="n">
        <f aca="false">IF(COUNT(N193:V193)&lt;9,"",SUMPRODUCT($B$12:$J$12,N193:V193))</f>
        <v>0.00185066811193818</v>
      </c>
      <c r="N193" s="35" t="n">
        <f aca="false">IF(OR(B193="",B192="",B192=0),"",B193/B192-1)</f>
        <v>0.00789425626872209</v>
      </c>
      <c r="O193" s="35" t="n">
        <f aca="false">IF(OR(C193="",C192="",C192=0),"",C193/C192-1)</f>
        <v>-0.00220833028705747</v>
      </c>
      <c r="P193" s="35" t="n">
        <f aca="false">IF(OR(D193="",D192="",D192=0),"",D193/D192-1)</f>
        <v>0.0104143562836378</v>
      </c>
      <c r="Q193" s="35" t="n">
        <f aca="false">IF(OR(E193="",E192="",E192=0),"",E193/E192-1)</f>
        <v>0.00164918360312805</v>
      </c>
      <c r="R193" s="35" t="n">
        <f aca="false">IF(OR(F193="",F192="",F192=0),"",F193/F192-1)</f>
        <v>-0.00113237747840478</v>
      </c>
      <c r="S193" s="35" t="n">
        <f aca="false">IF(OR(G193="",G192="",G192=0),"",G193/G192-1)</f>
        <v>0.00875067838067656</v>
      </c>
      <c r="T193" s="35" t="n">
        <f aca="false">IF(OR(H193="",H192="",H192=0),"",H193/H192-1)</f>
        <v>0.00141503670836252</v>
      </c>
      <c r="U193" s="35" t="n">
        <f aca="false">IF(OR(I193="",I192="",I192=0),"",I193/I192-1)</f>
        <v>-0.00764229627159574</v>
      </c>
      <c r="V193" s="35" t="n">
        <f aca="false">IF(OR(J193="",J192="",J192=0),"",J193/J192-1)</f>
        <v>-0.00594430804517998</v>
      </c>
    </row>
    <row r="194" customFormat="false" ht="15" hidden="false" customHeight="false" outlineLevel="0" collapsed="false">
      <c r="A194" s="33" t="n">
        <v>46157</v>
      </c>
      <c r="B194" s="34" t="n">
        <v>739.169982910156</v>
      </c>
      <c r="C194" s="34" t="n">
        <v>300.230010986328</v>
      </c>
      <c r="D194" s="34" t="n">
        <v>421.920013427734</v>
      </c>
      <c r="E194" s="34" t="n">
        <v>226.710006713867</v>
      </c>
      <c r="F194" s="34" t="n">
        <v>297.809997558594</v>
      </c>
      <c r="G194" s="34" t="n">
        <v>93.3600006103516</v>
      </c>
      <c r="H194" s="34" t="n">
        <v>83.6600036621094</v>
      </c>
      <c r="I194" s="34" t="n">
        <v>417.290008544922</v>
      </c>
      <c r="J194" s="34" t="n">
        <v>93.9100036621094</v>
      </c>
      <c r="L194" s="35" t="n">
        <f aca="false">IF(COUNT(N194:V194)&lt;9,"",SUMPRODUCT($B$12:$J$12,N194:V194))</f>
        <v>-0.00586988416270696</v>
      </c>
      <c r="N194" s="35" t="n">
        <f aca="false">IF(OR(B194="",B193="",B193=0),"",B194/B193-1)</f>
        <v>-0.0120293518927246</v>
      </c>
      <c r="O194" s="35" t="n">
        <f aca="false">IF(OR(C194="",C193="",C193=0),"",C194/C193-1)</f>
        <v>0.00677381573096714</v>
      </c>
      <c r="P194" s="35" t="n">
        <f aca="false">IF(OR(D194="",D193="",D193=0),"",D194/D193-1)</f>
        <v>0.0305058764022781</v>
      </c>
      <c r="Q194" s="35" t="n">
        <f aca="false">IF(OR(E194="",E193="",E193=0),"",E194/E193-1)</f>
        <v>-0.0177209544359227</v>
      </c>
      <c r="R194" s="35" t="n">
        <f aca="false">IF(OR(F194="",F193="",F193=0),"",F194/F193-1)</f>
        <v>-0.00700212089584362</v>
      </c>
      <c r="S194" s="35" t="n">
        <f aca="false">IF(OR(G194="",G193="",G193=0),"",G194/G193-1)</f>
        <v>-0.024247488371911</v>
      </c>
      <c r="T194" s="35" t="n">
        <f aca="false">IF(OR(H194="",H193="",H193=0),"",H194/H193-1)</f>
        <v>-0.0148374297456906</v>
      </c>
      <c r="U194" s="35" t="n">
        <f aca="false">IF(OR(I194="",I193="",I193=0),"",I194/I193-1)</f>
        <v>-0.0232203906944417</v>
      </c>
      <c r="V194" s="35" t="n">
        <f aca="false">IF(OR(J194="",J193="",J193=0),"",J194/J193-1)</f>
        <v>-0.0147922370670273</v>
      </c>
    </row>
    <row r="195" customFormat="false" ht="15" hidden="false" customHeight="false" outlineLevel="0" collapsed="false">
      <c r="A195" s="33" t="n">
        <v>46160</v>
      </c>
      <c r="B195" s="34" t="n">
        <v>738.650024414063</v>
      </c>
      <c r="C195" s="34" t="n">
        <v>297.839996337891</v>
      </c>
      <c r="D195" s="34" t="n">
        <v>423.540008544922</v>
      </c>
      <c r="E195" s="34" t="n">
        <v>228.919998168945</v>
      </c>
      <c r="F195" s="34" t="n">
        <v>300.730010986328</v>
      </c>
      <c r="G195" s="34" t="n">
        <v>89.0400009155273</v>
      </c>
      <c r="H195" s="34" t="n">
        <v>83.5599975585938</v>
      </c>
      <c r="I195" s="34" t="n">
        <v>418.429992675781</v>
      </c>
      <c r="J195" s="34" t="n">
        <v>95.0100021362305</v>
      </c>
      <c r="L195" s="35" t="n">
        <f aca="false">IF(COUNT(N195:V195)&lt;9,"",SUMPRODUCT($B$12:$J$12,N195:V195))</f>
        <v>-4.52576617566996E-007</v>
      </c>
      <c r="N195" s="35" t="n">
        <f aca="false">IF(OR(B195="",B194="",B194=0),"",B195/B194-1)</f>
        <v>-0.000703435621189574</v>
      </c>
      <c r="O195" s="35" t="n">
        <f aca="false">IF(OR(C195="",C194="",C194=0),"",C195/C194-1)</f>
        <v>-0.00796061206734533</v>
      </c>
      <c r="P195" s="35" t="n">
        <f aca="false">IF(OR(D195="",D194="",D194=0),"",D195/D194-1)</f>
        <v>0.00383957874865182</v>
      </c>
      <c r="Q195" s="35" t="n">
        <f aca="false">IF(OR(E195="",E194="",E194=0),"",E195/E194-1)</f>
        <v>0.00974809840602786</v>
      </c>
      <c r="R195" s="35" t="n">
        <f aca="false">IF(OR(F195="",F194="",F194=0),"",F195/F194-1)</f>
        <v>0.00980495433891382</v>
      </c>
      <c r="S195" s="35" t="n">
        <f aca="false">IF(OR(G195="",G194="",G194=0),"",G195/G194-1)</f>
        <v>-0.0462724900019474</v>
      </c>
      <c r="T195" s="35" t="n">
        <f aca="false">IF(OR(H195="",H194="",H194=0),"",H195/H194-1)</f>
        <v>-0.001195387271551</v>
      </c>
      <c r="U195" s="35" t="n">
        <f aca="false">IF(OR(I195="",I194="",I194=0),"",I195/I194-1)</f>
        <v>0.00273187497307714</v>
      </c>
      <c r="V195" s="35" t="n">
        <f aca="false">IF(OR(J195="",J194="",J194=0),"",J195/J194-1)</f>
        <v>0.011713325856944</v>
      </c>
    </row>
    <row r="196" customFormat="false" ht="15" hidden="false" customHeight="false" outlineLevel="0" collapsed="false">
      <c r="A196" s="33" t="n">
        <v>46161</v>
      </c>
      <c r="B196" s="34" t="n">
        <v>733.72998046875</v>
      </c>
      <c r="C196" s="34" t="n">
        <v>298.970001220703</v>
      </c>
      <c r="D196" s="34" t="n">
        <v>417.420013427734</v>
      </c>
      <c r="E196" s="34" t="n">
        <v>230</v>
      </c>
      <c r="F196" s="34" t="n">
        <v>295.700012207031</v>
      </c>
      <c r="G196" s="34" t="n">
        <v>90.0599975585938</v>
      </c>
      <c r="H196" s="34" t="n">
        <v>83.0199966430664</v>
      </c>
      <c r="I196" s="34" t="n">
        <v>411.5</v>
      </c>
      <c r="J196" s="34" t="n">
        <v>95.2799987792969</v>
      </c>
      <c r="L196" s="35" t="n">
        <f aca="false">IF(COUNT(N196:V196)&lt;9,"",SUMPRODUCT($B$12:$J$12,N196:V196))</f>
        <v>-0.005173176459962</v>
      </c>
      <c r="N196" s="35" t="n">
        <f aca="false">IF(OR(B196="",B195="",B195=0),"",B196/B195-1)</f>
        <v>-0.0066608593822437</v>
      </c>
      <c r="O196" s="35" t="n">
        <f aca="false">IF(OR(C196="",C195="",C195=0),"",C196/C195-1)</f>
        <v>0.00379399978749007</v>
      </c>
      <c r="P196" s="35" t="n">
        <f aca="false">IF(OR(D196="",D195="",D195=0),"",D196/D195-1)</f>
        <v>-0.0144496269389363</v>
      </c>
      <c r="Q196" s="35" t="n">
        <f aca="false">IF(OR(E196="",E195="",E195=0),"",E196/E195-1)</f>
        <v>0.00471781338324995</v>
      </c>
      <c r="R196" s="35" t="n">
        <f aca="false">IF(OR(F196="",F195="",F195=0),"",F196/F195-1)</f>
        <v>-0.0167259621439168</v>
      </c>
      <c r="S196" s="35" t="n">
        <f aca="false">IF(OR(G196="",G195="",G195=0),"",G196/G195-1)</f>
        <v>0.0114554877872719</v>
      </c>
      <c r="T196" s="35" t="n">
        <f aca="false">IF(OR(H196="",H195="",H195=0),"",H196/H195-1)</f>
        <v>-0.00646243335692709</v>
      </c>
      <c r="U196" s="35" t="n">
        <f aca="false">IF(OR(I196="",I195="",I195=0),"",I196/I195-1)</f>
        <v>-0.0165618927827449</v>
      </c>
      <c r="V196" s="35" t="n">
        <f aca="false">IF(OR(J196="",J195="",J195=0),"",J196/J195-1)</f>
        <v>0.00284177072935199</v>
      </c>
    </row>
    <row r="197" customFormat="false" ht="15" hidden="false" customHeight="false" outlineLevel="0" collapsed="false">
      <c r="A197" s="33" t="n">
        <v>46162</v>
      </c>
      <c r="B197" s="34" t="n">
        <v>741.25</v>
      </c>
      <c r="C197" s="34" t="n">
        <v>302.25</v>
      </c>
      <c r="D197" s="34" t="n">
        <v>421.059997558594</v>
      </c>
      <c r="E197" s="34" t="n">
        <v>229.320007324219</v>
      </c>
      <c r="F197" s="34" t="n">
        <v>301.980010986328</v>
      </c>
      <c r="G197" s="34" t="n">
        <v>88.2699966430664</v>
      </c>
      <c r="H197" s="34" t="n">
        <v>83.9100036621094</v>
      </c>
      <c r="I197" s="34" t="n">
        <v>417.399993896484</v>
      </c>
      <c r="J197" s="34" t="n">
        <v>96.4899978637695</v>
      </c>
      <c r="L197" s="35" t="n">
        <f aca="false">IF(COUNT(N197:V197)&lt;9,"",SUMPRODUCT($B$12:$J$12,N197:V197))</f>
        <v>0.0091621293293629</v>
      </c>
      <c r="N197" s="35" t="n">
        <f aca="false">IF(OR(B197="",B196="",B196=0),"",B197/B196-1)</f>
        <v>0.0102490285683103</v>
      </c>
      <c r="O197" s="35" t="n">
        <f aca="false">IF(OR(C197="",C196="",C196=0),"",C197/C196-1)</f>
        <v>0.0109709963070028</v>
      </c>
      <c r="P197" s="35" t="n">
        <f aca="false">IF(OR(D197="",D196="",D196=0),"",D197/D196-1)</f>
        <v>0.00872019551954284</v>
      </c>
      <c r="Q197" s="35" t="n">
        <f aca="false">IF(OR(E197="",E196="",E196=0),"",E197/E196-1)</f>
        <v>-0.00295648989469999</v>
      </c>
      <c r="R197" s="35" t="n">
        <f aca="false">IF(OR(F197="",F196="",F196=0),"",F197/F196-1)</f>
        <v>0.0212377359487566</v>
      </c>
      <c r="S197" s="35" t="n">
        <f aca="false">IF(OR(G197="",G196="",G196=0),"",G197/G196-1)</f>
        <v>-0.0198756491677985</v>
      </c>
      <c r="T197" s="35" t="n">
        <f aca="false">IF(OR(H197="",H196="",H196=0),"",H197/H196-1)</f>
        <v>0.0107203933393236</v>
      </c>
      <c r="U197" s="35" t="n">
        <f aca="false">IF(OR(I197="",I196="",I196=0),"",I197/I196-1)</f>
        <v>0.0143377737460122</v>
      </c>
      <c r="V197" s="35" t="n">
        <f aca="false">IF(OR(J197="",J196="",J196=0),"",J197/J196-1)</f>
        <v>0.0126994028124978</v>
      </c>
    </row>
    <row r="198" customFormat="false" ht="15" hidden="false" customHeight="false" outlineLevel="0" collapsed="false">
      <c r="A198" s="33" t="n">
        <v>46163</v>
      </c>
      <c r="B198" s="34" t="n">
        <v>742.719970703125</v>
      </c>
      <c r="C198" s="34" t="n">
        <v>304.989990234375</v>
      </c>
      <c r="D198" s="34" t="n">
        <v>419.089996337891</v>
      </c>
      <c r="E198" s="34" t="n">
        <v>231.729995727539</v>
      </c>
      <c r="F198" s="34" t="n">
        <v>303</v>
      </c>
      <c r="G198" s="34" t="n">
        <v>89.6900024414063</v>
      </c>
      <c r="H198" s="34" t="n">
        <v>84.2200012207031</v>
      </c>
      <c r="I198" s="34" t="n">
        <v>416.989990234375</v>
      </c>
      <c r="J198" s="34" t="n">
        <v>96.6699981689453</v>
      </c>
      <c r="L198" s="35" t="n">
        <f aca="false">IF(COUNT(N198:V198)&lt;9,"",SUMPRODUCT($B$12:$J$12,N198:V198))</f>
        <v>0.00378871509578254</v>
      </c>
      <c r="N198" s="35" t="n">
        <f aca="false">IF(OR(B198="",B197="",B197=0),"",B198/B197-1)</f>
        <v>0.00198309706998323</v>
      </c>
      <c r="O198" s="35" t="n">
        <f aca="false">IF(OR(C198="",C197="",C197=0),"",C198/C197-1)</f>
        <v>0.00906531094913143</v>
      </c>
      <c r="P198" s="35" t="n">
        <f aca="false">IF(OR(D198="",D197="",D197=0),"",D198/D197-1)</f>
        <v>-0.00467867104955466</v>
      </c>
      <c r="Q198" s="35" t="n">
        <f aca="false">IF(OR(E198="",E197="",E197=0),"",E198/E197-1)</f>
        <v>0.0105092810323901</v>
      </c>
      <c r="R198" s="35" t="n">
        <f aca="false">IF(OR(F198="",F197="",F197=0),"",F198/F197-1)</f>
        <v>0.00337767062906091</v>
      </c>
      <c r="S198" s="35" t="n">
        <f aca="false">IF(OR(G198="",G197="",G197=0),"",G198/G197-1)</f>
        <v>0.0160870720782047</v>
      </c>
      <c r="T198" s="35" t="n">
        <f aca="false">IF(OR(H198="",H197="",H197=0),"",H198/H197-1)</f>
        <v>0.0036944052563983</v>
      </c>
      <c r="U198" s="35" t="n">
        <f aca="false">IF(OR(I198="",I197="",I197=0),"",I198/I197-1)</f>
        <v>-0.000982279990666801</v>
      </c>
      <c r="V198" s="35" t="n">
        <f aca="false">IF(OR(J198="",J197="",J197=0),"",J198/J197-1)</f>
        <v>0.00186548149197741</v>
      </c>
    </row>
    <row r="199" customFormat="false" ht="15" hidden="false" customHeight="false" outlineLevel="0" collapsed="false">
      <c r="A199" s="33" t="n">
        <v>46164</v>
      </c>
      <c r="B199" s="34" t="n">
        <v>745.640014648438</v>
      </c>
      <c r="C199" s="34" t="n">
        <v>308.820007324219</v>
      </c>
      <c r="D199" s="34" t="n">
        <v>418.570007324219</v>
      </c>
      <c r="E199" s="34" t="n">
        <v>234.339996337891</v>
      </c>
      <c r="F199" s="34" t="n">
        <v>306.380004882813</v>
      </c>
      <c r="G199" s="34" t="n">
        <v>88.5500030517578</v>
      </c>
      <c r="H199" s="34" t="n">
        <v>84.6800003051758</v>
      </c>
      <c r="I199" s="34" t="n">
        <v>413.820007324219</v>
      </c>
      <c r="J199" s="34" t="n">
        <v>96.7699966430664</v>
      </c>
      <c r="L199" s="35" t="n">
        <f aca="false">IF(COUNT(N199:V199)&lt;9,"",SUMPRODUCT($B$12:$J$12,N199:V199))</f>
        <v>0.00418988464681943</v>
      </c>
      <c r="N199" s="35" t="n">
        <f aca="false">IF(OR(B199="",B198="",B198=0),"",B199/B198-1)</f>
        <v>0.00393155436839621</v>
      </c>
      <c r="O199" s="35" t="n">
        <f aca="false">IF(OR(C199="",C198="",C198=0),"",C199/C198-1)</f>
        <v>0.0125578452161683</v>
      </c>
      <c r="P199" s="35" t="n">
        <f aca="false">IF(OR(D199="",D198="",D198=0),"",D199/D198-1)</f>
        <v>-0.00124075739868723</v>
      </c>
      <c r="Q199" s="35" t="n">
        <f aca="false">IF(OR(E199="",E198="",E198=0),"",E199/E198-1)</f>
        <v>0.0112631107688828</v>
      </c>
      <c r="R199" s="35" t="n">
        <f aca="false">IF(OR(F199="",F198="",F198=0),"",F199/F198-1)</f>
        <v>0.0111551316264455</v>
      </c>
      <c r="S199" s="35" t="n">
        <f aca="false">IF(OR(G199="",G198="",G198=0),"",G199/G198-1)</f>
        <v>-0.0127104399444438</v>
      </c>
      <c r="T199" s="35" t="n">
        <f aca="false">IF(OR(H199="",H198="",H198=0),"",H199/H198-1)</f>
        <v>0.0054618745880477</v>
      </c>
      <c r="U199" s="35" t="n">
        <f aca="false">IF(OR(I199="",I198="",I198=0),"",I199/I198-1)</f>
        <v>-0.00760205996401564</v>
      </c>
      <c r="V199" s="35" t="n">
        <f aca="false">IF(OR(J199="",J198="",J198=0),"",J199/J198-1)</f>
        <v>0.00103443132321512</v>
      </c>
    </row>
    <row r="200" customFormat="false" ht="15" hidden="false" customHeight="false" outlineLevel="0" collapsed="false">
      <c r="A200" s="33" t="n">
        <v>46168</v>
      </c>
      <c r="B200" s="34" t="n">
        <v>750.590026855469</v>
      </c>
      <c r="C200" s="34" t="n">
        <v>308.329986572266</v>
      </c>
      <c r="D200" s="34" t="n">
        <v>416.029998779297</v>
      </c>
      <c r="E200" s="34" t="n">
        <v>230.179992675781</v>
      </c>
      <c r="F200" s="34" t="n">
        <v>306.739990234375</v>
      </c>
      <c r="G200" s="34" t="n">
        <v>87.6500015258789</v>
      </c>
      <c r="H200" s="34" t="n">
        <v>85.0999984741211</v>
      </c>
      <c r="I200" s="34" t="n">
        <v>414</v>
      </c>
      <c r="J200" s="34" t="n">
        <v>97.2200012207031</v>
      </c>
      <c r="L200" s="35" t="n">
        <f aca="false">IF(COUNT(N200:V200)&lt;9,"",SUMPRODUCT($B$12:$J$12,N200:V200))</f>
        <v>-0.00101894954410664</v>
      </c>
      <c r="N200" s="35" t="n">
        <f aca="false">IF(OR(B200="",B199="",B199=0),"",B200/B199-1)</f>
        <v>0.00663860859098997</v>
      </c>
      <c r="O200" s="35" t="n">
        <f aca="false">IF(OR(C200="",C199="",C199=0),"",C200/C199-1)</f>
        <v>-0.00158675196014257</v>
      </c>
      <c r="P200" s="35" t="n">
        <f aca="false">IF(OR(D200="",D199="",D199=0),"",D200/D199-1)</f>
        <v>-0.00606830040489392</v>
      </c>
      <c r="Q200" s="35" t="n">
        <f aca="false">IF(OR(E200="",E199="",E199=0),"",E200/E199-1)</f>
        <v>-0.0177520002010744</v>
      </c>
      <c r="R200" s="35" t="n">
        <f aca="false">IF(OR(F200="",F199="",F199=0),"",F200/F199-1)</f>
        <v>0.00117496359365776</v>
      </c>
      <c r="S200" s="35" t="n">
        <f aca="false">IF(OR(G200="",G199="",G199=0),"",G200/G199-1)</f>
        <v>-0.0101637661757373</v>
      </c>
      <c r="T200" s="35" t="n">
        <f aca="false">IF(OR(H200="",H199="",H199=0),"",H200/H199-1)</f>
        <v>0.00495982720160226</v>
      </c>
      <c r="U200" s="35" t="n">
        <f aca="false">IF(OR(I200="",I199="",I199=0),"",I200/I199-1)</f>
        <v>0.00043495402009408</v>
      </c>
      <c r="V200" s="35" t="n">
        <f aca="false">IF(OR(J200="",J199="",J199=0),"",J200/J199-1)</f>
        <v>0.00465024897434407</v>
      </c>
    </row>
    <row r="201" customFormat="false" ht="15" hidden="false" customHeight="false" outlineLevel="0" collapsed="false">
      <c r="A201" s="33" t="n">
        <v>46169</v>
      </c>
      <c r="B201" s="34" t="n">
        <v>750.460021972656</v>
      </c>
      <c r="C201" s="34" t="n">
        <v>310.850006103516</v>
      </c>
      <c r="D201" s="34" t="n">
        <v>412.670013427734</v>
      </c>
      <c r="E201" s="34" t="n">
        <v>231.289993286133</v>
      </c>
      <c r="F201" s="34" t="n">
        <v>299.279998779297</v>
      </c>
      <c r="G201" s="34" t="n">
        <v>87.6500015258789</v>
      </c>
      <c r="H201" s="34" t="n">
        <v>85.3000030517578</v>
      </c>
      <c r="I201" s="34" t="n">
        <v>408.489990234375</v>
      </c>
      <c r="J201" s="34" t="n">
        <v>96.9199981689453</v>
      </c>
      <c r="L201" s="35" t="n">
        <f aca="false">IF(COUNT(N201:V201)&lt;9,"",SUMPRODUCT($B$12:$J$12,N201:V201))</f>
        <v>-0.00273374529568003</v>
      </c>
      <c r="N201" s="35" t="n">
        <f aca="false">IF(OR(B201="",B200="",B200=0),"",B201/B200-1)</f>
        <v>-0.000173203584062476</v>
      </c>
      <c r="O201" s="35" t="n">
        <f aca="false">IF(OR(C201="",C200="",C200=0),"",C201/C200-1)</f>
        <v>0.00817312503161083</v>
      </c>
      <c r="P201" s="35" t="n">
        <f aca="false">IF(OR(D201="",D200="",D200=0),"",D201/D200-1)</f>
        <v>-0.00807630546215843</v>
      </c>
      <c r="Q201" s="35" t="n">
        <f aca="false">IF(OR(E201="",E200="",E200=0),"",E201/E200-1)</f>
        <v>0.00482231577752934</v>
      </c>
      <c r="R201" s="35" t="n">
        <f aca="false">IF(OR(F201="",F200="",F200=0),"",F201/F200-1)</f>
        <v>-0.0243202441565508</v>
      </c>
      <c r="S201" s="35" t="n">
        <f aca="false">IF(OR(G201="",G200="",G200=0),"",G201/G200-1)</f>
        <v>0</v>
      </c>
      <c r="T201" s="35" t="n">
        <f aca="false">IF(OR(H201="",H200="",H200=0),"",H201/H200-1)</f>
        <v>0.00235023009662605</v>
      </c>
      <c r="U201" s="35" t="n">
        <f aca="false">IF(OR(I201="",I200="",I200=0),"",I201/I200-1)</f>
        <v>-0.0133092023324275</v>
      </c>
      <c r="V201" s="35" t="n">
        <f aca="false">IF(OR(J201="",J200="",J200=0),"",J201/J200-1)</f>
        <v>-0.00308581616941916</v>
      </c>
    </row>
    <row r="202" customFormat="false" ht="15" hidden="false" customHeight="false" outlineLevel="0" collapsed="false">
      <c r="A202" s="33" t="n">
        <v>46170</v>
      </c>
      <c r="B202" s="34" t="n">
        <v>754.599975585938</v>
      </c>
      <c r="C202" s="34" t="n">
        <v>312.510009765625</v>
      </c>
      <c r="D202" s="34" t="n">
        <v>426.989990234375</v>
      </c>
      <c r="E202" s="34" t="n">
        <v>230.800003051758</v>
      </c>
      <c r="F202" s="34" t="n">
        <v>296.730010986328</v>
      </c>
      <c r="G202" s="34" t="n">
        <v>87.25</v>
      </c>
      <c r="H202" s="34" t="n">
        <v>85.7399978637695</v>
      </c>
      <c r="I202" s="34" t="n">
        <v>412.769989013672</v>
      </c>
      <c r="J202" s="34" t="n">
        <v>96.5500030517578</v>
      </c>
      <c r="L202" s="35" t="n">
        <f aca="false">IF(COUNT(N202:V202)&lt;9,"",SUMPRODUCT($B$12:$J$12,N202:V202))</f>
        <v>0.00646070944452002</v>
      </c>
      <c r="N202" s="35" t="n">
        <f aca="false">IF(OR(B202="",B201="",B201=0),"",B202/B201-1)</f>
        <v>0.0055165545026632</v>
      </c>
      <c r="O202" s="35" t="n">
        <f aca="false">IF(OR(C202="",C201="",C201=0),"",C202/C201-1)</f>
        <v>0.00534020791222423</v>
      </c>
      <c r="P202" s="35" t="n">
        <f aca="false">IF(OR(D202="",D201="",D201=0),"",D202/D201-1)</f>
        <v>0.0347007932262777</v>
      </c>
      <c r="Q202" s="35" t="n">
        <f aca="false">IF(OR(E202="",E201="",E201=0),"",E202/E201-1)</f>
        <v>-0.0021185103056699</v>
      </c>
      <c r="R202" s="35" t="n">
        <f aca="false">IF(OR(F202="",F201="",F201=0),"",F202/F201-1)</f>
        <v>-0.00852040832454515</v>
      </c>
      <c r="S202" s="35" t="n">
        <f aca="false">IF(OR(G202="",G201="",G201=0),"",G202/G201-1)</f>
        <v>-0.00456362257747145</v>
      </c>
      <c r="T202" s="35" t="n">
        <f aca="false">IF(OR(H202="",H201="",H201=0),"",H202/H201-1)</f>
        <v>0.00515820394220534</v>
      </c>
      <c r="U202" s="35" t="n">
        <f aca="false">IF(OR(I202="",I201="",I201=0),"",I202/I201-1)</f>
        <v>0.0104776099332111</v>
      </c>
      <c r="V202" s="35" t="n">
        <f aca="false">IF(OR(J202="",J201="",J201=0),"",J202/J201-1)</f>
        <v>-0.00381753120282302</v>
      </c>
    </row>
    <row r="203" customFormat="false" ht="15" hidden="false" customHeight="false" outlineLevel="0" collapsed="false">
      <c r="A203" s="33" t="n">
        <v>46171</v>
      </c>
      <c r="B203" s="34" t="n">
        <v>756.47998046875</v>
      </c>
      <c r="C203" s="34" t="n">
        <v>312.059997558594</v>
      </c>
      <c r="D203" s="34" t="n">
        <v>450.239990234375</v>
      </c>
      <c r="E203" s="34" t="n">
        <v>225.330001831055</v>
      </c>
      <c r="F203" s="34" t="n">
        <v>299.309997558594</v>
      </c>
      <c r="G203" s="34" t="n">
        <v>87.0100021362305</v>
      </c>
      <c r="H203" s="34" t="n">
        <v>85.7600021362305</v>
      </c>
      <c r="I203" s="34" t="n">
        <v>417.119995117188</v>
      </c>
      <c r="J203" s="34" t="n">
        <v>95.6999969482422</v>
      </c>
      <c r="L203" s="35" t="n">
        <f aca="false">IF(COUNT(N203:V203)&lt;9,"",SUMPRODUCT($B$12:$J$12,N203:V203))</f>
        <v>0.0057485786568434</v>
      </c>
      <c r="N203" s="35" t="n">
        <f aca="false">IF(OR(B203="",B202="",B202=0),"",B203/B202-1)</f>
        <v>0.00249139271619003</v>
      </c>
      <c r="O203" s="35" t="n">
        <f aca="false">IF(OR(C203="",C202="",C202=0),"",C203/C202-1)</f>
        <v>-0.00143999293772545</v>
      </c>
      <c r="P203" s="35" t="n">
        <f aca="false">IF(OR(D203="",D202="",D202=0),"",D203/D202-1)</f>
        <v>0.0544509251545642</v>
      </c>
      <c r="Q203" s="35" t="n">
        <f aca="false">IF(OR(E203="",E202="",E202=0),"",E203/E202-1)</f>
        <v>-0.023700178285857</v>
      </c>
      <c r="R203" s="35" t="n">
        <f aca="false">IF(OR(F203="",F202="",F202=0),"",F203/F202-1)</f>
        <v>0.00869472745169975</v>
      </c>
      <c r="S203" s="35" t="n">
        <f aca="false">IF(OR(G203="",G202="",G202=0),"",G203/G202-1)</f>
        <v>-0.00275069184836108</v>
      </c>
      <c r="T203" s="35" t="n">
        <f aca="false">IF(OR(H203="",H202="",H202=0),"",H203/H202-1)</f>
        <v>0.000233313190569184</v>
      </c>
      <c r="U203" s="35" t="n">
        <f aca="false">IF(OR(I203="",I202="",I202=0),"",I203/I202-1)</f>
        <v>0.0105385716483666</v>
      </c>
      <c r="V203" s="35" t="n">
        <f aca="false">IF(OR(J203="",J202="",J202=0),"",J203/J202-1)</f>
        <v>-0.00880379157585243</v>
      </c>
    </row>
    <row r="204" customFormat="false" ht="15" hidden="false" customHeight="false" outlineLevel="0" collapsed="false">
      <c r="A204" s="33" t="n">
        <v>46174</v>
      </c>
      <c r="B204" s="34" t="n">
        <v>758.539978027344</v>
      </c>
      <c r="C204" s="34" t="n">
        <v>306.309997558594</v>
      </c>
      <c r="D204" s="34" t="n">
        <v>460.519989013672</v>
      </c>
      <c r="E204" s="34" t="n">
        <v>223.509994506836</v>
      </c>
      <c r="F204" s="34" t="n">
        <v>296.579986572266</v>
      </c>
      <c r="G204" s="34" t="n">
        <v>83.6600036621094</v>
      </c>
      <c r="H204" s="34" t="n">
        <v>85.4700012207031</v>
      </c>
      <c r="I204" s="34" t="n">
        <v>411.260009765625</v>
      </c>
      <c r="J204" s="34" t="n">
        <v>94.0899963378906</v>
      </c>
      <c r="L204" s="35" t="n">
        <f aca="false">IF(COUNT(N204:V204)&lt;9,"",SUMPRODUCT($B$12:$J$12,N204:V204))</f>
        <v>-0.00593075624104819</v>
      </c>
      <c r="N204" s="35" t="n">
        <f aca="false">IF(OR(B204="",B203="",B203=0),"",B204/B203-1)</f>
        <v>0.00272313559086856</v>
      </c>
      <c r="O204" s="35" t="n">
        <f aca="false">IF(OR(C204="",C203="",C203=0),"",C204/C203-1)</f>
        <v>-0.0184259438729257</v>
      </c>
      <c r="P204" s="35" t="n">
        <f aca="false">IF(OR(D204="",D203="",D203=0),"",D204/D203-1)</f>
        <v>0.0228322650192527</v>
      </c>
      <c r="Q204" s="35" t="n">
        <f aca="false">IF(OR(E204="",E203="",E203=0),"",E204/E203-1)</f>
        <v>-0.00807707499857735</v>
      </c>
      <c r="R204" s="35" t="n">
        <f aca="false">IF(OR(F204="",F203="",F203=0),"",F204/F203-1)</f>
        <v>-0.00912101502988894</v>
      </c>
      <c r="S204" s="35" t="n">
        <f aca="false">IF(OR(G204="",G203="",G203=0),"",G204/G203-1)</f>
        <v>-0.0385013032050734</v>
      </c>
      <c r="T204" s="35" t="n">
        <f aca="false">IF(OR(H204="",H203="",H203=0),"",H204/H203-1)</f>
        <v>-0.00338154044197359</v>
      </c>
      <c r="U204" s="35" t="n">
        <f aca="false">IF(OR(I204="",I203="",I203=0),"",I204/I203-1)</f>
        <v>-0.0140486800444958</v>
      </c>
      <c r="V204" s="35" t="n">
        <f aca="false">IF(OR(J204="",J203="",J203=0),"",J204/J203-1)</f>
        <v>-0.016823413392817</v>
      </c>
    </row>
    <row r="205" customFormat="false" ht="15" hidden="false" customHeight="false" outlineLevel="0" collapsed="false">
      <c r="A205" s="33" t="n">
        <v>46175</v>
      </c>
      <c r="B205" s="34" t="n">
        <v>759.570007324219</v>
      </c>
      <c r="C205" s="34" t="n">
        <v>315.200012207031</v>
      </c>
      <c r="D205" s="34" t="n">
        <v>441.309997558594</v>
      </c>
      <c r="E205" s="34" t="n">
        <v>222.889999389648</v>
      </c>
      <c r="F205" s="34" t="n">
        <v>300.959991455078</v>
      </c>
      <c r="G205" s="34" t="n">
        <v>85.6800003051758</v>
      </c>
      <c r="H205" s="34" t="n">
        <v>85.6500015258789</v>
      </c>
      <c r="I205" s="34" t="n">
        <v>411.950012207031</v>
      </c>
      <c r="J205" s="34" t="n">
        <v>94.5199966430664</v>
      </c>
      <c r="L205" s="35" t="n">
        <f aca="false">IF(COUNT(N205:V205)&lt;9,"",SUMPRODUCT($B$12:$J$12,N205:V205))</f>
        <v>0.00257357641451038</v>
      </c>
      <c r="N205" s="35" t="n">
        <f aca="false">IF(OR(B205="",B204="",B204=0),"",B205/B204-1)</f>
        <v>0.00135791036294974</v>
      </c>
      <c r="O205" s="35" t="n">
        <f aca="false">IF(OR(C205="",C204="",C204=0),"",C205/C204-1)</f>
        <v>0.0290229333658509</v>
      </c>
      <c r="P205" s="35" t="n">
        <f aca="false">IF(OR(D205="",D204="",D204=0),"",D205/D204-1)</f>
        <v>-0.0417136973711422</v>
      </c>
      <c r="Q205" s="35" t="n">
        <f aca="false">IF(OR(E205="",E204="",E204=0),"",E205/E204-1)</f>
        <v>-0.00277390332613969</v>
      </c>
      <c r="R205" s="35" t="n">
        <f aca="false">IF(OR(F205="",F204="",F204=0),"",F205/F204-1)</f>
        <v>0.0147683764283424</v>
      </c>
      <c r="S205" s="35" t="n">
        <f aca="false">IF(OR(G205="",G204="",G204=0),"",G205/G204-1)</f>
        <v>0.02414530904427</v>
      </c>
      <c r="T205" s="35" t="n">
        <f aca="false">IF(OR(H205="",H204="",H204=0),"",H205/H204-1)</f>
        <v>0.00210600564648411</v>
      </c>
      <c r="U205" s="35" t="n">
        <f aca="false">IF(OR(I205="",I204="",I204=0),"",I205/I204-1)</f>
        <v>0.00167777664986013</v>
      </c>
      <c r="V205" s="35" t="n">
        <f aca="false">IF(OR(J205="",J204="",J204=0),"",J205/J204-1)</f>
        <v>0.00457009588598156</v>
      </c>
    </row>
    <row r="206" customFormat="false" ht="15" hidden="false" customHeight="false" outlineLevel="0" collapsed="false">
      <c r="A206" s="33" t="n">
        <v>46176</v>
      </c>
      <c r="B206" s="34" t="n">
        <v>754.239990234375</v>
      </c>
      <c r="C206" s="34" t="n">
        <v>310.260009765625</v>
      </c>
      <c r="D206" s="34" t="n">
        <v>427.339996337891</v>
      </c>
      <c r="E206" s="34" t="n">
        <v>223.240005493164</v>
      </c>
      <c r="F206" s="34" t="n">
        <v>300.850006103516</v>
      </c>
      <c r="G206" s="34" t="n">
        <v>84.5800018310547</v>
      </c>
      <c r="H206" s="34" t="n">
        <v>85.3099975585938</v>
      </c>
      <c r="I206" s="34" t="n">
        <v>407.869995117188</v>
      </c>
      <c r="J206" s="34" t="n">
        <v>94.4100036621094</v>
      </c>
      <c r="L206" s="35" t="n">
        <f aca="false">IF(COUNT(N206:V206)&lt;9,"",SUMPRODUCT($B$12:$J$12,N206:V206))</f>
        <v>-0.00984245686945253</v>
      </c>
      <c r="N206" s="35" t="n">
        <f aca="false">IF(OR(B206="",B205="",B205=0),"",B206/B205-1)</f>
        <v>-0.00701715054366137</v>
      </c>
      <c r="O206" s="35" t="n">
        <f aca="false">IF(OR(C206="",C205="",C205=0),"",C206/C205-1)</f>
        <v>-0.0156725959710983</v>
      </c>
      <c r="P206" s="35" t="n">
        <f aca="false">IF(OR(D206="",D205="",D205=0),"",D206/D205-1)</f>
        <v>-0.0316557551335512</v>
      </c>
      <c r="Q206" s="35" t="n">
        <f aca="false">IF(OR(E206="",E205="",E205=0),"",E206/E205-1)</f>
        <v>0.00157030869251407</v>
      </c>
      <c r="R206" s="35" t="n">
        <f aca="false">IF(OR(F206="",F205="",F205=0),"",F206/F205-1)</f>
        <v>-0.000365448414024194</v>
      </c>
      <c r="S206" s="35" t="n">
        <f aca="false">IF(OR(G206="",G205="",G205=0),"",G206/G205-1)</f>
        <v>-0.0128384508660494</v>
      </c>
      <c r="T206" s="35" t="n">
        <f aca="false">IF(OR(H206="",H205="",H205=0),"",H206/H205-1)</f>
        <v>-0.00396969014860282</v>
      </c>
      <c r="U206" s="35" t="n">
        <f aca="false">IF(OR(I206="",I205="",I205=0),"",I206/I205-1)</f>
        <v>-0.0099041557687648</v>
      </c>
      <c r="V206" s="35" t="n">
        <f aca="false">IF(OR(J206="",J205="",J205=0),"",J206/J205-1)</f>
        <v>-0.00116370064392157</v>
      </c>
    </row>
    <row r="207" customFormat="false" ht="15" hidden="false" customHeight="false" outlineLevel="0" collapsed="false">
      <c r="A207" s="33" t="n">
        <v>46177</v>
      </c>
      <c r="B207" s="34" t="n">
        <v>757.090026855469</v>
      </c>
      <c r="C207" s="34" t="n">
        <v>311.230010986328</v>
      </c>
      <c r="D207" s="34" t="n">
        <v>428.049987792969</v>
      </c>
      <c r="E207" s="34" t="n">
        <v>228.169998168945</v>
      </c>
      <c r="F207" s="34" t="n">
        <v>310.890014648438</v>
      </c>
      <c r="G207" s="34" t="n">
        <v>85.6800003051758</v>
      </c>
      <c r="H207" s="34" t="n">
        <v>85.5</v>
      </c>
      <c r="I207" s="34" t="n">
        <v>411.269989013672</v>
      </c>
      <c r="J207" s="34" t="n">
        <v>96.0999984741211</v>
      </c>
      <c r="L207" s="35" t="n">
        <f aca="false">IF(COUNT(N207:V207)&lt;9,"",SUMPRODUCT($B$12:$J$12,N207:V207))</f>
        <v>0.00971070936266528</v>
      </c>
      <c r="N207" s="35" t="n">
        <f aca="false">IF(OR(B207="",B206="",B206=0),"",B207/B206-1)</f>
        <v>0.00377868670183923</v>
      </c>
      <c r="O207" s="35" t="n">
        <f aca="false">IF(OR(C207="",C206="",C206=0),"",C207/C206-1)</f>
        <v>0.00312641394369773</v>
      </c>
      <c r="P207" s="35" t="n">
        <f aca="false">IF(OR(D207="",D206="",D206=0),"",D207/D206-1)</f>
        <v>0.0016614205577814</v>
      </c>
      <c r="Q207" s="35" t="n">
        <f aca="false">IF(OR(E207="",E206="",E206=0),"",E207/E206-1)</f>
        <v>0.0220838225876676</v>
      </c>
      <c r="R207" s="35" t="n">
        <f aca="false">IF(OR(F207="",F206="",F206=0),"",F207/F206-1)</f>
        <v>0.033372140073906</v>
      </c>
      <c r="S207" s="35" t="n">
        <f aca="false">IF(OR(G207="",G206="",G206=0),"",G207/G206-1)</f>
        <v>0.0130054203157657</v>
      </c>
      <c r="T207" s="35" t="n">
        <f aca="false">IF(OR(H207="",H206="",H206=0),"",H207/H206-1)</f>
        <v>0.00222720017399713</v>
      </c>
      <c r="U207" s="35" t="n">
        <f aca="false">IF(OR(I207="",I206="",I206=0),"",I207/I206-1)</f>
        <v>0.00833597454381785</v>
      </c>
      <c r="V207" s="35" t="n">
        <f aca="false">IF(OR(J207="",J206="",J206=0),"",J207/J206-1)</f>
        <v>0.0179005904719602</v>
      </c>
    </row>
    <row r="208" customFormat="false" ht="15" hidden="false" customHeight="false" outlineLevel="0" collapsed="false">
      <c r="A208" s="33" t="n">
        <v>46178</v>
      </c>
      <c r="B208" s="34" t="n">
        <v>737.549987792969</v>
      </c>
      <c r="C208" s="34" t="n">
        <v>307.339996337891</v>
      </c>
      <c r="D208" s="34" t="n">
        <v>416.670013427734</v>
      </c>
      <c r="E208" s="34" t="n">
        <v>232.770004272461</v>
      </c>
      <c r="F208" s="34" t="n">
        <v>312.369995117188</v>
      </c>
      <c r="G208" s="34" t="n">
        <v>85.8399963378906</v>
      </c>
      <c r="H208" s="34" t="n">
        <v>85.0599975585938</v>
      </c>
      <c r="I208" s="34" t="n">
        <v>396.239990234375</v>
      </c>
      <c r="J208" s="34" t="n">
        <v>96.7900009155273</v>
      </c>
      <c r="L208" s="35" t="n">
        <f aca="false">IF(COUNT(N208:V208)&lt;9,"",SUMPRODUCT($B$12:$J$12,N208:V208))</f>
        <v>-0.0115318978908258</v>
      </c>
      <c r="N208" s="35" t="n">
        <f aca="false">IF(OR(B208="",B207="",B207=0),"",B208/B207-1)</f>
        <v>-0.0258093996346227</v>
      </c>
      <c r="O208" s="35" t="n">
        <f aca="false">IF(OR(C208="",C207="",C207=0),"",C208/C207-1)</f>
        <v>-0.01249884172837</v>
      </c>
      <c r="P208" s="35" t="n">
        <f aca="false">IF(OR(D208="",D207="",D207=0),"",D208/D207-1)</f>
        <v>-0.0265856201139271</v>
      </c>
      <c r="Q208" s="35" t="n">
        <f aca="false">IF(OR(E208="",E207="",E207=0),"",E208/E207-1)</f>
        <v>0.0201604336259407</v>
      </c>
      <c r="R208" s="35" t="n">
        <f aca="false">IF(OR(F208="",F207="",F207=0),"",F208/F207-1)</f>
        <v>0.00476046318317303</v>
      </c>
      <c r="S208" s="35" t="n">
        <f aca="false">IF(OR(G208="",G207="",G207=0),"",G208/G207-1)</f>
        <v>0.00186736732195292</v>
      </c>
      <c r="T208" s="35" t="n">
        <f aca="false">IF(OR(H208="",H207="",H207=0),"",H208/H207-1)</f>
        <v>-0.00514622738486781</v>
      </c>
      <c r="U208" s="35" t="n">
        <f aca="false">IF(OR(I208="",I207="",I207=0),"",I208/I207-1)</f>
        <v>-0.0365453331893793</v>
      </c>
      <c r="V208" s="35" t="n">
        <f aca="false">IF(OR(J208="",J207="",J207=0),"",J208/J207-1)</f>
        <v>0.00718004633051073</v>
      </c>
    </row>
    <row r="209" customFormat="false" ht="15" hidden="false" customHeight="false" outlineLevel="0" collapsed="false">
      <c r="A209" s="33" t="n">
        <v>46181</v>
      </c>
      <c r="B209" s="34" t="n">
        <v>739.219970703125</v>
      </c>
      <c r="C209" s="34" t="n">
        <v>301.540008544922</v>
      </c>
      <c r="D209" s="34" t="n">
        <v>411.739990234375</v>
      </c>
      <c r="E209" s="34" t="n">
        <v>232.160003662109</v>
      </c>
      <c r="F209" s="34" t="n">
        <v>311.109985351563</v>
      </c>
      <c r="G209" s="34" t="n">
        <v>84.0100021362305</v>
      </c>
      <c r="H209" s="34" t="n">
        <v>84.620002746582</v>
      </c>
      <c r="I209" s="34" t="n">
        <v>397.269989013672</v>
      </c>
      <c r="J209" s="34" t="n">
        <v>95.4700012207031</v>
      </c>
      <c r="L209" s="35" t="n">
        <f aca="false">IF(COUNT(N209:V209)&lt;9,"",SUMPRODUCT($B$12:$J$12,N209:V209))</f>
        <v>-0.00695817736905684</v>
      </c>
      <c r="N209" s="35" t="n">
        <f aca="false">IF(OR(B209="",B208="",B208=0),"",B209/B208-1)</f>
        <v>0.00226423013734056</v>
      </c>
      <c r="O209" s="35" t="n">
        <f aca="false">IF(OR(C209="",C208="",C208=0),"",C209/C208-1)</f>
        <v>-0.0188715684976859</v>
      </c>
      <c r="P209" s="35" t="n">
        <f aca="false">IF(OR(D209="",D208="",D208=0),"",D209/D208-1)</f>
        <v>-0.0118319606270731</v>
      </c>
      <c r="Q209" s="35" t="n">
        <f aca="false">IF(OR(E209="",E208="",E208=0),"",E209/E208-1)</f>
        <v>-0.00262061519592527</v>
      </c>
      <c r="R209" s="35" t="n">
        <f aca="false">IF(OR(F209="",F208="",F208=0),"",F209/F208-1)</f>
        <v>-0.00403370933611047</v>
      </c>
      <c r="S209" s="35" t="n">
        <f aca="false">IF(OR(G209="",G208="",G208=0),"",G209/G208-1)</f>
        <v>-0.0213186658868987</v>
      </c>
      <c r="T209" s="35" t="n">
        <f aca="false">IF(OR(H209="",H208="",H208=0),"",H209/H208-1)</f>
        <v>-0.00517275834282394</v>
      </c>
      <c r="U209" s="35" t="n">
        <f aca="false">IF(OR(I209="",I208="",I208=0),"",I209/I208-1)</f>
        <v>0.00259943166939758</v>
      </c>
      <c r="V209" s="35" t="n">
        <f aca="false">IF(OR(J209="",J208="",J208=0),"",J209/J208-1)</f>
        <v>-0.0136377692151922</v>
      </c>
    </row>
    <row r="210" customFormat="false" ht="15" hidden="false" customHeight="false" outlineLevel="0" collapsed="false">
      <c r="A210" s="33" t="n">
        <v>46182</v>
      </c>
      <c r="B210" s="34" t="n">
        <v>737.049987792969</v>
      </c>
      <c r="C210" s="34" t="n">
        <v>290.549987792969</v>
      </c>
      <c r="D210" s="34" t="n">
        <v>403.410003662109</v>
      </c>
      <c r="E210" s="34" t="n">
        <v>237</v>
      </c>
      <c r="F210" s="34" t="n">
        <v>312.700012207031</v>
      </c>
      <c r="G210" s="34" t="n">
        <v>84.8300018310547</v>
      </c>
      <c r="H210" s="34" t="n">
        <v>85.120002746582</v>
      </c>
      <c r="I210" s="34" t="n">
        <v>390.779998779297</v>
      </c>
      <c r="J210" s="34" t="n">
        <v>97.6699981689453</v>
      </c>
      <c r="L210" s="35" t="n">
        <f aca="false">IF(COUNT(N210:V210)&lt;9,"",SUMPRODUCT($B$12:$J$12,N210:V210))</f>
        <v>-0.00544032574212</v>
      </c>
      <c r="N210" s="35" t="n">
        <f aca="false">IF(OR(B210="",B209="",B209=0),"",B210/B209-1)</f>
        <v>-0.00293550363377226</v>
      </c>
      <c r="O210" s="35" t="n">
        <f aca="false">IF(OR(C210="",C209="",C209=0),"",C210/C209-1)</f>
        <v>-0.0364463104083111</v>
      </c>
      <c r="P210" s="35" t="n">
        <f aca="false">IF(OR(D210="",D209="",D209=0),"",D210/D209-1)</f>
        <v>-0.0202311817405065</v>
      </c>
      <c r="Q210" s="35" t="n">
        <f aca="false">IF(OR(E210="",E209="",E209=0),"",E210/E209-1)</f>
        <v>0.0208476751444888</v>
      </c>
      <c r="R210" s="35" t="n">
        <f aca="false">IF(OR(F210="",F209="",F209=0),"",F210/F209-1)</f>
        <v>0.00511081910042588</v>
      </c>
      <c r="S210" s="35" t="n">
        <f aca="false">IF(OR(G210="",G209="",G209=0),"",G210/G209-1)</f>
        <v>0.00976073888790641</v>
      </c>
      <c r="T210" s="35" t="n">
        <f aca="false">IF(OR(H210="",H209="",H209=0),"",H210/H209-1)</f>
        <v>0.00590876842083521</v>
      </c>
      <c r="U210" s="35" t="n">
        <f aca="false">IF(OR(I210="",I209="",I209=0),"",I210/I209-1)</f>
        <v>-0.0163364724591659</v>
      </c>
      <c r="V210" s="35" t="n">
        <f aca="false">IF(OR(J210="",J209="",J209=0),"",J210/J209-1)</f>
        <v>0.0230438558721326</v>
      </c>
    </row>
    <row r="211" customFormat="false" ht="15" hidden="false" customHeight="false" outlineLevel="0" collapsed="false">
      <c r="A211" s="33" t="n">
        <v>46183</v>
      </c>
      <c r="B211" s="34" t="n">
        <v>725.429992675781</v>
      </c>
      <c r="C211" s="34" t="n">
        <v>291.579986572266</v>
      </c>
      <c r="D211" s="34" t="n">
        <v>397.359985351563</v>
      </c>
      <c r="E211" s="34" t="n">
        <v>238.490005493164</v>
      </c>
      <c r="F211" s="34" t="n">
        <v>309.140014648438</v>
      </c>
      <c r="G211" s="34" t="n">
        <v>85.120002746582</v>
      </c>
      <c r="H211" s="34" t="n">
        <v>84.879997253418</v>
      </c>
      <c r="I211" s="34" t="n">
        <v>374.579986572266</v>
      </c>
      <c r="J211" s="34" t="n">
        <v>97.6800003051758</v>
      </c>
      <c r="L211" s="35" t="n">
        <f aca="false">IF(COUNT(N211:V211)&lt;9,"",SUMPRODUCT($B$12:$J$12,N211:V211))</f>
        <v>-0.0091019491261697</v>
      </c>
      <c r="N211" s="35" t="n">
        <f aca="false">IF(OR(B211="",B210="",B210=0),"",B211/B210-1)</f>
        <v>-0.015765545498458</v>
      </c>
      <c r="O211" s="35" t="n">
        <f aca="false">IF(OR(C211="",C210="",C210=0),"",C211/C210-1)</f>
        <v>0.00354499680802256</v>
      </c>
      <c r="P211" s="35" t="n">
        <f aca="false">IF(OR(D211="",D210="",D210=0),"",D211/D210-1)</f>
        <v>-0.0149971945554761</v>
      </c>
      <c r="Q211" s="35" t="n">
        <f aca="false">IF(OR(E211="",E210="",E210=0),"",E211/E210-1)</f>
        <v>0.0062869430091308</v>
      </c>
      <c r="R211" s="35" t="n">
        <f aca="false">IF(OR(F211="",F210="",F210=0),"",F211/F210-1)</f>
        <v>-0.0113847055312426</v>
      </c>
      <c r="S211" s="35" t="n">
        <f aca="false">IF(OR(G211="",G210="",G210=0),"",G211/G210-1)</f>
        <v>0.00341861262840548</v>
      </c>
      <c r="T211" s="35" t="n">
        <f aca="false">IF(OR(H211="",H210="",H210=0),"",H211/H210-1)</f>
        <v>-0.00281961331555103</v>
      </c>
      <c r="U211" s="35" t="n">
        <f aca="false">IF(OR(I211="",I210="",I210=0),"",I211/I210-1)</f>
        <v>-0.0414555818046879</v>
      </c>
      <c r="V211" s="35" t="n">
        <f aca="false">IF(OR(J211="",J210="",J210=0),"",J211/J210-1)</f>
        <v>0.000102407457950315</v>
      </c>
    </row>
    <row r="212" customFormat="false" ht="15" hidden="false" customHeight="false" outlineLevel="0" collapsed="false">
      <c r="A212" s="33" t="n">
        <v>46184</v>
      </c>
      <c r="B212" s="34" t="n">
        <v>737.760009765625</v>
      </c>
      <c r="C212" s="34" t="n">
        <v>295.630004882813</v>
      </c>
      <c r="D212" s="34" t="n">
        <v>390.339996337891</v>
      </c>
      <c r="E212" s="34" t="n">
        <v>238.330001831055</v>
      </c>
      <c r="F212" s="34" t="n">
        <v>313.489990234375</v>
      </c>
      <c r="G212" s="34" t="n">
        <v>84.8399963378906</v>
      </c>
      <c r="H212" s="34" t="n">
        <v>85.9800033569336</v>
      </c>
      <c r="I212" s="34" t="n">
        <v>386.320007324219</v>
      </c>
      <c r="J212" s="34" t="n">
        <v>97.6100006103516</v>
      </c>
      <c r="L212" s="35" t="n">
        <f aca="false">IF(COUNT(N212:V212)&lt;9,"",SUMPRODUCT($B$12:$J$12,N212:V212))</f>
        <v>0.00891116381802229</v>
      </c>
      <c r="N212" s="35" t="n">
        <f aca="false">IF(OR(B212="",B211="",B211=0),"",B212/B211-1)</f>
        <v>0.0169968394115663</v>
      </c>
      <c r="O212" s="35" t="n">
        <f aca="false">IF(OR(C212="",C211="",C211=0),"",C212/C211-1)</f>
        <v>0.0138899049902494</v>
      </c>
      <c r="P212" s="35" t="n">
        <f aca="false">IF(OR(D212="",D211="",D211=0),"",D212/D211-1)</f>
        <v>-0.0176665725600454</v>
      </c>
      <c r="Q212" s="35" t="n">
        <f aca="false">IF(OR(E212="",E211="",E211=0),"",E212/E211-1)</f>
        <v>-0.000670903008191615</v>
      </c>
      <c r="R212" s="35" t="n">
        <f aca="false">IF(OR(F212="",F211="",F211=0),"",F212/F211-1)</f>
        <v>0.0140712149182107</v>
      </c>
      <c r="S212" s="35" t="n">
        <f aca="false">IF(OR(G212="",G211="",G211=0),"",G212/G211-1)</f>
        <v>-0.0032895488681437</v>
      </c>
      <c r="T212" s="35" t="n">
        <f aca="false">IF(OR(H212="",H211="",H211=0),"",H212/H211-1)</f>
        <v>0.0129595445229742</v>
      </c>
      <c r="U212" s="35" t="n">
        <f aca="false">IF(OR(I212="",I211="",I211=0),"",I212/I211-1)</f>
        <v>0.0313418259725631</v>
      </c>
      <c r="V212" s="35" t="n">
        <f aca="false">IF(OR(J212="",J211="",J211=0),"",J212/J211-1)</f>
        <v>-0.000716622590146376</v>
      </c>
    </row>
    <row r="213" customFormat="false" ht="15" hidden="false" customHeight="false" outlineLevel="0" collapsed="false">
      <c r="A213" s="33" t="n">
        <v>46185</v>
      </c>
      <c r="B213" s="34" t="n">
        <v>741.75</v>
      </c>
      <c r="C213" s="34" t="n">
        <v>291.130004882813</v>
      </c>
      <c r="D213" s="34" t="n">
        <v>390.739990234375</v>
      </c>
      <c r="E213" s="34" t="n">
        <v>240.869995117188</v>
      </c>
      <c r="F213" s="34" t="n">
        <v>320.720001220703</v>
      </c>
      <c r="G213" s="34" t="n">
        <v>85.9899978637695</v>
      </c>
      <c r="H213" s="34" t="n">
        <v>85.7699966430664</v>
      </c>
      <c r="I213" s="34" t="n">
        <v>386.540008544922</v>
      </c>
      <c r="J213" s="34" t="n">
        <v>98.5100021362305</v>
      </c>
      <c r="L213" s="35" t="n">
        <f aca="false">IF(COUNT(N213:V213)&lt;9,"",SUMPRODUCT($B$12:$J$12,N213:V213))</f>
        <v>0.00291365333946653</v>
      </c>
      <c r="N213" s="35" t="n">
        <f aca="false">IF(OR(B213="",B212="",B212=0),"",B213/B212-1)</f>
        <v>0.00540824954126018</v>
      </c>
      <c r="O213" s="35" t="n">
        <f aca="false">IF(OR(C213="",C212="",C212=0),"",C213/C212-1)</f>
        <v>-0.0152217296136222</v>
      </c>
      <c r="P213" s="35" t="n">
        <f aca="false">IF(OR(D213="",D212="",D212=0),"",D213/D212-1)</f>
        <v>0.00102473202909437</v>
      </c>
      <c r="Q213" s="35" t="n">
        <f aca="false">IF(OR(E213="",E212="",E212=0),"",E213/E212-1)</f>
        <v>0.0106574634608259</v>
      </c>
      <c r="R213" s="35" t="n">
        <f aca="false">IF(OR(F213="",F212="",F212=0),"",F213/F212-1)</f>
        <v>0.0230629723804663</v>
      </c>
      <c r="S213" s="35" t="n">
        <f aca="false">IF(OR(G213="",G212="",G212=0),"",G213/G212-1)</f>
        <v>0.0135549454917328</v>
      </c>
      <c r="T213" s="35" t="n">
        <f aca="false">IF(OR(H213="",H212="",H212=0),"",H213/H212-1)</f>
        <v>-0.00244250646275712</v>
      </c>
      <c r="U213" s="35" t="n">
        <f aca="false">IF(OR(I213="",I212="",I212=0),"",I213/I212-1)</f>
        <v>0.000569479231031345</v>
      </c>
      <c r="V213" s="35" t="n">
        <f aca="false">IF(OR(J213="",J212="",J212=0),"",J213/J212-1)</f>
        <v>0.00922038234044886</v>
      </c>
    </row>
    <row r="214" customFormat="false" ht="15" hidden="false" customHeight="false" outlineLevel="0" collapsed="false">
      <c r="A214" s="33" t="n">
        <v>46188</v>
      </c>
      <c r="B214" s="34" t="n">
        <v>754.830017089844</v>
      </c>
      <c r="C214" s="34" t="n">
        <v>296.420013427734</v>
      </c>
      <c r="D214" s="34" t="n">
        <v>399.760009765625</v>
      </c>
      <c r="E214" s="34" t="n">
        <v>235.660003662109</v>
      </c>
      <c r="F214" s="34" t="n">
        <v>319.399993896484</v>
      </c>
      <c r="G214" s="34" t="n">
        <v>86.120002746582</v>
      </c>
      <c r="H214" s="34" t="n">
        <v>85.7200012207031</v>
      </c>
      <c r="I214" s="34" t="n">
        <v>396.549987792969</v>
      </c>
      <c r="J214" s="34" t="n">
        <v>97.8199996948242</v>
      </c>
      <c r="L214" s="35" t="n">
        <f aca="false">IF(COUNT(N214:V214)&lt;9,"",SUMPRODUCT($B$12:$J$12,N214:V214))</f>
        <v>0.008818369874638</v>
      </c>
      <c r="N214" s="35" t="n">
        <f aca="false">IF(OR(B214="",B213="",B213=0),"",B214/B213-1)</f>
        <v>0.0176339967507164</v>
      </c>
      <c r="O214" s="35" t="n">
        <f aca="false">IF(OR(C214="",C213="",C213=0),"",C214/C213-1)</f>
        <v>0.0181706057644258</v>
      </c>
      <c r="P214" s="35" t="n">
        <f aca="false">IF(OR(D214="",D213="",D213=0),"",D214/D213-1)</f>
        <v>0.0230844545137026</v>
      </c>
      <c r="Q214" s="35" t="n">
        <f aca="false">IF(OR(E214="",E213="",E213=0),"",E214/E213-1)</f>
        <v>-0.0216298898189633</v>
      </c>
      <c r="R214" s="35" t="n">
        <f aca="false">IF(OR(F214="",F213="",F213=0),"",F214/F213-1)</f>
        <v>-0.00411576240706824</v>
      </c>
      <c r="S214" s="35" t="n">
        <f aca="false">IF(OR(G214="",G213="",G213=0),"",G214/G213-1)</f>
        <v>0.00151186051915553</v>
      </c>
      <c r="T214" s="35" t="n">
        <f aca="false">IF(OR(H214="",H213="",H213=0),"",H214/H213-1)</f>
        <v>-0.000582901064708707</v>
      </c>
      <c r="U214" s="35" t="n">
        <f aca="false">IF(OR(I214="",I213="",I213=0),"",I214/I213-1)</f>
        <v>0.025896360083729</v>
      </c>
      <c r="V214" s="35" t="n">
        <f aca="false">IF(OR(J214="",J213="",J213=0),"",J214/J213-1)</f>
        <v>-0.00700438967052386</v>
      </c>
    </row>
    <row r="215" customFormat="false" ht="15" hidden="false" customHeight="false" outlineLevel="0" collapsed="false">
      <c r="A215" s="33" t="n">
        <v>46189</v>
      </c>
      <c r="B215" s="34" t="n">
        <v>750.330017089844</v>
      </c>
      <c r="C215" s="34" t="n">
        <v>299.239990234375</v>
      </c>
      <c r="D215" s="34" t="n">
        <v>393.829986572266</v>
      </c>
      <c r="E215" s="34" t="n">
        <v>235.179992675781</v>
      </c>
      <c r="F215" s="34" t="n">
        <v>331.140014648438</v>
      </c>
      <c r="G215" s="34" t="n">
        <v>86.2300033569336</v>
      </c>
      <c r="H215" s="34" t="n">
        <v>86.1900024414063</v>
      </c>
      <c r="I215" s="34" t="n">
        <v>397.630004882813</v>
      </c>
      <c r="J215" s="34" t="n">
        <v>98.0599975585938</v>
      </c>
      <c r="L215" s="35" t="n">
        <f aca="false">IF(COUNT(N215:V215)&lt;9,"",SUMPRODUCT($B$12:$J$12,N215:V215))</f>
        <v>0.00272739265971603</v>
      </c>
      <c r="N215" s="35" t="n">
        <f aca="false">IF(OR(B215="",B214="",B214=0),"",B215/B214-1)</f>
        <v>-0.00596160711433968</v>
      </c>
      <c r="O215" s="35" t="n">
        <f aca="false">IF(OR(C215="",C214="",C214=0),"",C215/C214-1)</f>
        <v>0.00951344942614174</v>
      </c>
      <c r="P215" s="35" t="n">
        <f aca="false">IF(OR(D215="",D214="",D214=0),"",D215/D214-1)</f>
        <v>-0.0148339579960379</v>
      </c>
      <c r="Q215" s="35" t="n">
        <f aca="false">IF(OR(E215="",E214="",E214=0),"",E215/E214-1)</f>
        <v>-0.00203687931286067</v>
      </c>
      <c r="R215" s="35" t="n">
        <f aca="false">IF(OR(F215="",F214="",F214=0),"",F215/F214-1)</f>
        <v>0.0367564839583525</v>
      </c>
      <c r="S215" s="35" t="n">
        <f aca="false">IF(OR(G215="",G214="",G214=0),"",G215/G214-1)</f>
        <v>0.00127729455229209</v>
      </c>
      <c r="T215" s="35" t="n">
        <f aca="false">IF(OR(H215="",H214="",H214=0),"",H215/H214-1)</f>
        <v>0.0054829819646538</v>
      </c>
      <c r="U215" s="35" t="n">
        <f aca="false">IF(OR(I215="",I214="",I214=0),"",I215/I214-1)</f>
        <v>0.00272353328228547</v>
      </c>
      <c r="V215" s="35" t="n">
        <f aca="false">IF(OR(J215="",J214="",J214=0),"",J215/J214-1)</f>
        <v>0.00245346416395775</v>
      </c>
    </row>
    <row r="216" customFormat="false" ht="15" hidden="false" customHeight="false" outlineLevel="0" collapsed="false">
      <c r="A216" s="33" t="n">
        <v>46190</v>
      </c>
      <c r="B216" s="34" t="n">
        <v>740.960021972656</v>
      </c>
      <c r="C216" s="34" t="n">
        <v>295.950012207031</v>
      </c>
      <c r="D216" s="34" t="n">
        <v>378.910003662109</v>
      </c>
      <c r="E216" s="34" t="n">
        <v>234.199996948242</v>
      </c>
      <c r="F216" s="34" t="n">
        <v>333.459991455078</v>
      </c>
      <c r="G216" s="34" t="n">
        <v>85.7300033569336</v>
      </c>
      <c r="H216" s="34" t="n">
        <v>86.3300018310547</v>
      </c>
      <c r="I216" s="34" t="n">
        <v>388.600006103516</v>
      </c>
      <c r="J216" s="34" t="n">
        <v>95.6100006103516</v>
      </c>
      <c r="L216" s="35" t="n">
        <f aca="false">IF(COUNT(N216:V216)&lt;9,"",SUMPRODUCT($B$12:$J$12,N216:V216))</f>
        <v>-0.0130152083150721</v>
      </c>
      <c r="N216" s="35" t="n">
        <f aca="false">IF(OR(B216="",B215="",B215=0),"",B216/B215-1)</f>
        <v>-0.0124878318923312</v>
      </c>
      <c r="O216" s="35" t="n">
        <f aca="false">IF(OR(C216="",C215="",C215=0),"",C216/C215-1)</f>
        <v>-0.0109944463798677</v>
      </c>
      <c r="P216" s="35" t="n">
        <f aca="false">IF(OR(D216="",D215="",D215=0),"",D216/D215-1)</f>
        <v>-0.03788432424868</v>
      </c>
      <c r="Q216" s="35" t="n">
        <f aca="false">IF(OR(E216="",E215="",E215=0),"",E216/E215-1)</f>
        <v>-0.0041670029681905</v>
      </c>
      <c r="R216" s="35" t="n">
        <f aca="false">IF(OR(F216="",F215="",F215=0),"",F216/F215-1)</f>
        <v>0.00700602978804321</v>
      </c>
      <c r="S216" s="35" t="n">
        <f aca="false">IF(OR(G216="",G215="",G215=0),"",G216/G215-1)</f>
        <v>-0.00579844579073408</v>
      </c>
      <c r="T216" s="35" t="n">
        <f aca="false">IF(OR(H216="",H215="",H215=0),"",H216/H215-1)</f>
        <v>0.00162431123892315</v>
      </c>
      <c r="U216" s="35" t="n">
        <f aca="false">IF(OR(I216="",I215="",I215=0),"",I216/I215-1)</f>
        <v>-0.0227095507592749</v>
      </c>
      <c r="V216" s="35" t="n">
        <f aca="false">IF(OR(J216="",J215="",J215=0),"",J216/J215-1)</f>
        <v>-0.0249846727436257</v>
      </c>
    </row>
    <row r="217" customFormat="false" ht="15" hidden="false" customHeight="false" outlineLevel="0" collapsed="false">
      <c r="A217" s="33" t="n">
        <v>46191</v>
      </c>
      <c r="B217" s="34" t="n">
        <v>746.739990234375</v>
      </c>
      <c r="C217" s="34" t="n">
        <v>298.010009765625</v>
      </c>
      <c r="D217" s="34" t="n">
        <v>379.399993896484</v>
      </c>
      <c r="E217" s="34" t="n">
        <v>228.389999389648</v>
      </c>
      <c r="F217" s="34" t="n">
        <v>325.220001220703</v>
      </c>
      <c r="G217" s="34" t="n">
        <v>86.75</v>
      </c>
      <c r="H217" s="34" t="n">
        <v>86.75</v>
      </c>
      <c r="I217" s="34" t="n">
        <v>387.119995117188</v>
      </c>
      <c r="J217" s="34" t="n">
        <v>95.5599975585938</v>
      </c>
      <c r="L217" s="35" t="n">
        <f aca="false">IF(COUNT(N217:V217)&lt;9,"",SUMPRODUCT($B$12:$J$12,N217:V217))</f>
        <v>-0.00142432771280763</v>
      </c>
      <c r="N217" s="35" t="n">
        <f aca="false">IF(OR(B217="",B216="",B216=0),"",B217/B216-1)</f>
        <v>0.00780064793014201</v>
      </c>
      <c r="O217" s="35" t="n">
        <f aca="false">IF(OR(C217="",C216="",C216=0),"",C217/C216-1)</f>
        <v>0.00696062670594833</v>
      </c>
      <c r="P217" s="35" t="n">
        <f aca="false">IF(OR(D217="",D216="",D216=0),"",D217/D216-1)</f>
        <v>0.0012931572923367</v>
      </c>
      <c r="Q217" s="35" t="n">
        <f aca="false">IF(OR(E217="",E216="",E216=0),"",E217/E216-1)</f>
        <v>-0.0248078464316889</v>
      </c>
      <c r="R217" s="35" t="n">
        <f aca="false">IF(OR(F217="",F216="",F216=0),"",F217/F216-1)</f>
        <v>-0.0247105813156751</v>
      </c>
      <c r="S217" s="35" t="n">
        <f aca="false">IF(OR(G217="",G216="",G216=0),"",G217/G216-1)</f>
        <v>0.0118977791103039</v>
      </c>
      <c r="T217" s="35" t="n">
        <f aca="false">IF(OR(H217="",H216="",H216=0),"",H217/H216-1)</f>
        <v>0.00486503139160388</v>
      </c>
      <c r="U217" s="35" t="n">
        <f aca="false">IF(OR(I217="",I216="",I216=0),"",I217/I216-1)</f>
        <v>-0.00380857170118976</v>
      </c>
      <c r="V217" s="35" t="n">
        <f aca="false">IF(OR(J217="",J216="",J216=0),"",J217/J216-1)</f>
        <v>-0.00052298976507259</v>
      </c>
    </row>
    <row r="218" customFormat="false" ht="15" hidden="false" customHeight="false" outlineLevel="0" collapsed="false">
      <c r="A218" s="33" t="n">
        <v>46195</v>
      </c>
      <c r="B218" s="34" t="n">
        <v>744.390014648438</v>
      </c>
      <c r="C218" s="34" t="n">
        <v>297.010009765625</v>
      </c>
      <c r="D218" s="34" t="n">
        <v>367.339996337891</v>
      </c>
      <c r="E218" s="34" t="n">
        <v>231.289993286133</v>
      </c>
      <c r="F218" s="34" t="n">
        <v>331.480010986328</v>
      </c>
      <c r="G218" s="34" t="n">
        <v>86.0800018310547</v>
      </c>
      <c r="H218" s="34" t="n">
        <v>86.0899963378906</v>
      </c>
      <c r="I218" s="34" t="n">
        <v>384.589996337891</v>
      </c>
      <c r="J218" s="34" t="n">
        <v>96.5899963378906</v>
      </c>
      <c r="L218" s="35" t="n">
        <f aca="false">IF(COUNT(N218:V218)&lt;9,"",SUMPRODUCT($B$12:$J$12,N218:V218))</f>
        <v>-0.00309577985276887</v>
      </c>
      <c r="N218" s="35" t="n">
        <f aca="false">IF(OR(B218="",B217="",B217=0),"",B218/B217-1)</f>
        <v>-0.00314697969396216</v>
      </c>
      <c r="O218" s="35" t="n">
        <f aca="false">IF(OR(C218="",C217="",C217=0),"",C218/C217-1)</f>
        <v>-0.00335559198426416</v>
      </c>
      <c r="P218" s="35" t="n">
        <f aca="false">IF(OR(D218="",D217="",D217=0),"",D218/D217-1)</f>
        <v>-0.0317870262324871</v>
      </c>
      <c r="Q218" s="35" t="n">
        <f aca="false">IF(OR(E218="",E217="",E217=0),"",E218/E217-1)</f>
        <v>0.0126975520129382</v>
      </c>
      <c r="R218" s="35" t="n">
        <f aca="false">IF(OR(F218="",F217="",F217=0),"",F218/F217-1)</f>
        <v>0.0192485386573036</v>
      </c>
      <c r="S218" s="35" t="n">
        <f aca="false">IF(OR(G218="",G217="",G217=0),"",G218/G217-1)</f>
        <v>-0.00772332183222246</v>
      </c>
      <c r="T218" s="35" t="n">
        <f aca="false">IF(OR(H218="",H217="",H217=0),"",H218/H217-1)</f>
        <v>-0.0076081113787827</v>
      </c>
      <c r="U218" s="35" t="n">
        <f aca="false">IF(OR(I218="",I217="",I217=0),"",I218/I217-1)</f>
        <v>-0.00653543813599999</v>
      </c>
      <c r="V218" s="35" t="n">
        <f aca="false">IF(OR(J218="",J217="",J217=0),"",J218/J217-1)</f>
        <v>0.0107785559398454</v>
      </c>
    </row>
    <row r="219" customFormat="false" ht="15" hidden="false" customHeight="false" outlineLevel="0" collapsed="false">
      <c r="A219" s="33" t="n">
        <v>46196</v>
      </c>
      <c r="B219" s="34" t="n">
        <v>733.580017089844</v>
      </c>
      <c r="C219" s="34" t="n">
        <v>294.299987792969</v>
      </c>
      <c r="D219" s="34" t="n">
        <v>373.940002441406</v>
      </c>
      <c r="E219" s="34" t="n">
        <v>239.080001831055</v>
      </c>
      <c r="F219" s="34" t="n">
        <v>334.140014648438</v>
      </c>
      <c r="G219" s="34" t="n">
        <v>86.4300003051758</v>
      </c>
      <c r="H219" s="34" t="n">
        <v>86.1999969482422</v>
      </c>
      <c r="I219" s="34" t="n">
        <v>377.320007324219</v>
      </c>
      <c r="J219" s="34" t="n">
        <v>97.8600006103516</v>
      </c>
      <c r="L219" s="35" t="n">
        <f aca="false">IF(COUNT(N219:V219)&lt;9,"",SUMPRODUCT($B$12:$J$12,N219:V219))</f>
        <v>0.00152283441260197</v>
      </c>
      <c r="N219" s="35" t="n">
        <f aca="false">IF(OR(B219="",B218="",B218=0),"",B219/B218-1)</f>
        <v>-0.0145219540104918</v>
      </c>
      <c r="O219" s="35" t="n">
        <f aca="false">IF(OR(C219="",C218="",C218=0),"",C219/C218-1)</f>
        <v>-0.00912434558954611</v>
      </c>
      <c r="P219" s="35" t="n">
        <f aca="false">IF(OR(D219="",D218="",D218=0),"",D219/D218-1)</f>
        <v>0.0179670228380036</v>
      </c>
      <c r="Q219" s="35" t="n">
        <f aca="false">IF(OR(E219="",E218="",E218=0),"",E219/E218-1)</f>
        <v>0.0336806985647875</v>
      </c>
      <c r="R219" s="35" t="n">
        <f aca="false">IF(OR(F219="",F218="",F218=0),"",F219/F218-1)</f>
        <v>0.00802462765158918</v>
      </c>
      <c r="S219" s="35" t="n">
        <f aca="false">IF(OR(G219="",G218="",G218=0),"",G219/G218-1)</f>
        <v>0.00406596731733377</v>
      </c>
      <c r="T219" s="35" t="n">
        <f aca="false">IF(OR(H219="",H218="",H218=0),"",H219/H218-1)</f>
        <v>0.00127773974945788</v>
      </c>
      <c r="U219" s="35" t="n">
        <f aca="false">IF(OR(I219="",I218="",I218=0),"",I219/I218-1)</f>
        <v>-0.0189032192280031</v>
      </c>
      <c r="V219" s="35" t="n">
        <f aca="false">IF(OR(J219="",J218="",J218=0),"",J219/J218-1)</f>
        <v>0.0131484037748411</v>
      </c>
    </row>
    <row r="220" customFormat="false" ht="15" hidden="false" customHeight="false" outlineLevel="0" collapsed="false">
      <c r="A220" s="33" t="n">
        <v>46197</v>
      </c>
      <c r="B220" s="34" t="n">
        <v>733.239990234375</v>
      </c>
      <c r="C220" s="34" t="n">
        <v>293.079986572266</v>
      </c>
      <c r="D220" s="34" t="n">
        <v>365.459991455078</v>
      </c>
      <c r="E220" s="34" t="n">
        <v>241</v>
      </c>
      <c r="F220" s="34" t="n">
        <v>333.450012207031</v>
      </c>
      <c r="G220" s="34" t="n">
        <v>87.620002746582</v>
      </c>
      <c r="H220" s="34" t="n">
        <v>87.379997253418</v>
      </c>
      <c r="I220" s="34" t="n">
        <v>365.920013427734</v>
      </c>
      <c r="J220" s="34" t="n">
        <v>97.0100021362305</v>
      </c>
      <c r="L220" s="35" t="n">
        <f aca="false">IF(COUNT(N220:V220)&lt;9,"",SUMPRODUCT($B$12:$J$12,N220:V220))</f>
        <v>-0.00468797324636327</v>
      </c>
      <c r="N220" s="35" t="n">
        <f aca="false">IF(OR(B220="",B219="",B219=0),"",B220/B219-1)</f>
        <v>-0.000463517063643448</v>
      </c>
      <c r="O220" s="35" t="n">
        <f aca="false">IF(OR(C220="",C219="",C219=0),"",C220/C219-1)</f>
        <v>-0.00414543415326674</v>
      </c>
      <c r="P220" s="35" t="n">
        <f aca="false">IF(OR(D220="",D219="",D219=0),"",D220/D219-1)</f>
        <v>-0.0226774641144651</v>
      </c>
      <c r="Q220" s="35" t="n">
        <f aca="false">IF(OR(E220="",E219="",E219=0),"",E220/E219-1)</f>
        <v>0.00803077695432575</v>
      </c>
      <c r="R220" s="35" t="n">
        <f aca="false">IF(OR(F220="",F219="",F219=0),"",F220/F219-1)</f>
        <v>-0.00206500990949243</v>
      </c>
      <c r="S220" s="35" t="n">
        <f aca="false">IF(OR(G220="",G219="",G219=0),"",G220/G219-1)</f>
        <v>0.0137683956635939</v>
      </c>
      <c r="T220" s="35" t="n">
        <f aca="false">IF(OR(H220="",H219="",H219=0),"",H220/H219-1)</f>
        <v>0.0136890991525709</v>
      </c>
      <c r="U220" s="35" t="n">
        <f aca="false">IF(OR(I220="",I219="",I219=0),"",I220/I219-1)</f>
        <v>-0.0302130649719016</v>
      </c>
      <c r="V220" s="35" t="n">
        <f aca="false">IF(OR(J220="",J219="",J219=0),"",J220/J219-1)</f>
        <v>-0.00868586213794886</v>
      </c>
    </row>
    <row r="221" customFormat="false" ht="15" hidden="false" customHeight="false" outlineLevel="0" collapsed="false">
      <c r="A221" s="33" t="n">
        <v>46198</v>
      </c>
      <c r="B221" s="34" t="n">
        <v>734.299987792969</v>
      </c>
      <c r="C221" s="34" t="n">
        <v>275.149993896484</v>
      </c>
      <c r="D221" s="34" t="n">
        <v>352.829986572266</v>
      </c>
      <c r="E221" s="34" t="n">
        <v>244.880004882813</v>
      </c>
      <c r="F221" s="34" t="n">
        <v>335.119995117188</v>
      </c>
      <c r="G221" s="34" t="n">
        <v>87.6999969482422</v>
      </c>
      <c r="H221" s="34" t="n">
        <v>87.3499984741211</v>
      </c>
      <c r="I221" s="34" t="n">
        <v>369.459991455078</v>
      </c>
      <c r="J221" s="34" t="n">
        <v>97.1900024414063</v>
      </c>
      <c r="L221" s="35" t="n">
        <f aca="false">IF(COUNT(N221:V221)&lt;9,"",SUMPRODUCT($B$12:$J$12,N221:V221))</f>
        <v>-0.0108824997582566</v>
      </c>
      <c r="N221" s="35" t="n">
        <f aca="false">IF(OR(B221="",B220="",B220=0),"",B221/B220-1)</f>
        <v>0.00144563522545349</v>
      </c>
      <c r="O221" s="35" t="n">
        <f aca="false">IF(OR(C221="",C220="",C220=0),"",C221/C220-1)</f>
        <v>-0.0611778132157139</v>
      </c>
      <c r="P221" s="35" t="n">
        <f aca="false">IF(OR(D221="",D220="",D220=0),"",D221/D220-1)</f>
        <v>-0.034559199852563</v>
      </c>
      <c r="Q221" s="35" t="n">
        <f aca="false">IF(OR(E221="",E220="",E220=0),"",E221/E220-1)</f>
        <v>0.0160996053228755</v>
      </c>
      <c r="R221" s="35" t="n">
        <f aca="false">IF(OR(F221="",F220="",F220=0),"",F221/F220-1)</f>
        <v>0.00500819567857791</v>
      </c>
      <c r="S221" s="35" t="n">
        <f aca="false">IF(OR(G221="",G220="",G220=0),"",G221/G220-1)</f>
        <v>0.000912967349379734</v>
      </c>
      <c r="T221" s="35" t="n">
        <f aca="false">IF(OR(H221="",H220="",H220=0),"",H221/H220-1)</f>
        <v>-0.000343314033415476</v>
      </c>
      <c r="U221" s="35" t="n">
        <f aca="false">IF(OR(I221="",I220="",I220=0),"",I221/I220-1)</f>
        <v>0.0096741853340665</v>
      </c>
      <c r="V221" s="35" t="n">
        <f aca="false">IF(OR(J221="",J220="",J220=0),"",J221/J220-1)</f>
        <v>0.00185548192157592</v>
      </c>
    </row>
    <row r="222" customFormat="false" ht="15" hidden="false" customHeight="false" outlineLevel="0" collapsed="false">
      <c r="A222" s="33" t="n">
        <v>46199</v>
      </c>
      <c r="B222" s="34" t="n">
        <v>728.989990234375</v>
      </c>
      <c r="C222" s="34" t="n">
        <v>283.779998779297</v>
      </c>
      <c r="D222" s="34" t="n">
        <v>372.970001220703</v>
      </c>
      <c r="E222" s="34" t="n">
        <v>254.660003662109</v>
      </c>
      <c r="F222" s="34" t="n">
        <v>329.049987792969</v>
      </c>
      <c r="G222" s="34" t="n">
        <v>88.5599975585938</v>
      </c>
      <c r="H222" s="34" t="n">
        <v>87.3600006103516</v>
      </c>
      <c r="I222" s="34" t="n">
        <v>373.630004882813</v>
      </c>
      <c r="J222" s="34" t="n">
        <v>98.6699981689453</v>
      </c>
      <c r="L222" s="35" t="n">
        <f aca="false">IF(COUNT(N222:V222)&lt;9,"",SUMPRODUCT($B$12:$J$12,N222:V222))</f>
        <v>0.0161752305332811</v>
      </c>
      <c r="N222" s="35" t="n">
        <f aca="false">IF(OR(B222="",B221="",B221=0),"",B222/B221-1)</f>
        <v>-0.00723137361686987</v>
      </c>
      <c r="O222" s="35" t="n">
        <f aca="false">IF(OR(C222="",C221="",C221=0),"",C222/C221-1)</f>
        <v>0.031364728599848</v>
      </c>
      <c r="P222" s="35" t="n">
        <f aca="false">IF(OR(D222="",D221="",D221=0),"",D222/D221-1)</f>
        <v>0.0570813576365679</v>
      </c>
      <c r="Q222" s="35" t="n">
        <f aca="false">IF(OR(E222="",E221="",E221=0),"",E222/E221-1)</f>
        <v>0.0399379230001902</v>
      </c>
      <c r="R222" s="35" t="n">
        <f aca="false">IF(OR(F222="",F221="",F221=0),"",F222/F221-1)</f>
        <v>-0.0181129368962195</v>
      </c>
      <c r="S222" s="35" t="n">
        <f aca="false">IF(OR(G222="",G221="",G221=0),"",G222/G221-1)</f>
        <v>0.0098061646553893</v>
      </c>
      <c r="T222" s="35" t="n">
        <f aca="false">IF(OR(H222="",H221="",H221=0),"",H222/H221-1)</f>
        <v>0.000114506427077776</v>
      </c>
      <c r="U222" s="35" t="n">
        <f aca="false">IF(OR(I222="",I221="",I221=0),"",I222/I221-1)</f>
        <v>0.0112867794190972</v>
      </c>
      <c r="V222" s="35" t="n">
        <f aca="false">IF(OR(J222="",J221="",J221=0),"",J222/J221-1)</f>
        <v>0.0152278597629549</v>
      </c>
    </row>
    <row r="223" customFormat="false" ht="15" hidden="false" customHeight="false" outlineLevel="0" collapsed="false">
      <c r="A223" s="33" t="n">
        <v>46202</v>
      </c>
      <c r="B223" s="34" t="n">
        <v>741</v>
      </c>
      <c r="C223" s="34" t="n">
        <v>281.739990234375</v>
      </c>
      <c r="D223" s="34" t="n">
        <v>368.570007324219</v>
      </c>
      <c r="E223" s="34" t="n">
        <v>258.510009765625</v>
      </c>
      <c r="F223" s="34" t="n">
        <v>329.390014648438</v>
      </c>
      <c r="G223" s="34" t="n">
        <v>88.6600036621094</v>
      </c>
      <c r="H223" s="34" t="n">
        <v>87.4499969482422</v>
      </c>
      <c r="I223" s="34" t="n">
        <v>368.579986572266</v>
      </c>
      <c r="J223" s="34" t="n">
        <v>98.1500015258789</v>
      </c>
      <c r="L223" s="35" t="n">
        <f aca="false">IF(COUNT(N223:V223)&lt;9,"",SUMPRODUCT($B$12:$J$12,N223:V223))</f>
        <v>0.000591174749481742</v>
      </c>
      <c r="N223" s="35" t="n">
        <f aca="false">IF(OR(B223="",B222="",B222=0),"",B223/B222-1)</f>
        <v>0.0164748623801594</v>
      </c>
      <c r="O223" s="35" t="n">
        <f aca="false">IF(OR(C223="",C222="",C222=0),"",C223/C222-1)</f>
        <v>-0.00718869741947015</v>
      </c>
      <c r="P223" s="35" t="n">
        <f aca="false">IF(OR(D223="",D222="",D222=0),"",D223/D222-1)</f>
        <v>-0.0117971790816505</v>
      </c>
      <c r="Q223" s="35" t="n">
        <f aca="false">IF(OR(E223="",E222="",E222=0),"",E223/E222-1)</f>
        <v>0.0151182205613423</v>
      </c>
      <c r="R223" s="35" t="n">
        <f aca="false">IF(OR(F223="",F222="",F222=0),"",F223/F222-1)</f>
        <v>0.00103335927088066</v>
      </c>
      <c r="S223" s="35" t="n">
        <f aca="false">IF(OR(G223="",G222="",G222=0),"",G223/G222-1)</f>
        <v>0.00112924690912997</v>
      </c>
      <c r="T223" s="35" t="n">
        <f aca="false">IF(OR(H223="",H222="",H222=0),"",H223/H222-1)</f>
        <v>0.00103017785327175</v>
      </c>
      <c r="U223" s="35" t="n">
        <f aca="false">IF(OR(I223="",I222="",I222=0),"",I223/I222-1)</f>
        <v>-0.0135160941159715</v>
      </c>
      <c r="V223" s="35" t="n">
        <f aca="false">IF(OR(J223="",J222="",J222=0),"",J223/J222-1)</f>
        <v>-0.00527005830258598</v>
      </c>
    </row>
    <row r="224" customFormat="false" ht="15" hidden="false" customHeight="false" outlineLevel="0" collapsed="false">
      <c r="A224" s="33" t="n">
        <v>46203</v>
      </c>
      <c r="B224" s="34" t="n">
        <v>746.77001953125</v>
      </c>
      <c r="C224" s="34" t="n">
        <v>289.359985351563</v>
      </c>
      <c r="D224" s="34" t="n">
        <v>373.019989013672</v>
      </c>
      <c r="E224" s="34" t="n">
        <v>253.970001220703</v>
      </c>
      <c r="F224" s="34" t="n">
        <v>327.329986572266</v>
      </c>
      <c r="G224" s="34" t="n">
        <v>87.7699966430664</v>
      </c>
      <c r="H224" s="34" t="n">
        <v>86.4199981689453</v>
      </c>
      <c r="I224" s="34" t="n">
        <v>368.380004882813</v>
      </c>
      <c r="J224" s="34" t="n">
        <v>96.4300003051758</v>
      </c>
      <c r="L224" s="35" t="n">
        <f aca="false">IF(COUNT(N224:V224)&lt;9,"",SUMPRODUCT($B$12:$J$12,N224:V224))</f>
        <v>0.00210494842884828</v>
      </c>
      <c r="N224" s="35" t="n">
        <f aca="false">IF(OR(B224="",B223="",B223=0),"",B224/B223-1)</f>
        <v>0.00778680098684204</v>
      </c>
      <c r="O224" s="35" t="n">
        <f aca="false">IF(OR(C224="",C223="",C223=0),"",C224/C223-1)</f>
        <v>0.0270461964268867</v>
      </c>
      <c r="P224" s="35" t="n">
        <f aca="false">IF(OR(D224="",D223="",D223=0),"",D224/D223-1)</f>
        <v>0.0120736402882031</v>
      </c>
      <c r="Q224" s="35" t="n">
        <f aca="false">IF(OR(E224="",E223="",E223=0),"",E224/E223-1)</f>
        <v>-0.0175622156721829</v>
      </c>
      <c r="R224" s="35" t="n">
        <f aca="false">IF(OR(F224="",F223="",F223=0),"",F224/F223-1)</f>
        <v>-0.00625406959701158</v>
      </c>
      <c r="S224" s="35" t="n">
        <f aca="false">IF(OR(G224="",G223="",G223=0),"",G224/G223-1)</f>
        <v>-0.0100384275014795</v>
      </c>
      <c r="T224" s="35" t="n">
        <f aca="false">IF(OR(H224="",H223="",H223=0),"",H224/H223-1)</f>
        <v>-0.0117781454001252</v>
      </c>
      <c r="U224" s="35" t="n">
        <f aca="false">IF(OR(I224="",I223="",I223=0),"",I224/I223-1)</f>
        <v>-0.000542573380917455</v>
      </c>
      <c r="V224" s="35" t="n">
        <f aca="false">IF(OR(J224="",J223="",J223=0),"",J224/J223-1)</f>
        <v>-0.0175242098213274</v>
      </c>
    </row>
    <row r="225" customFormat="false" ht="15" hidden="false" customHeight="false" outlineLevel="0" collapsed="false">
      <c r="A225" s="33" t="n">
        <v>46204</v>
      </c>
      <c r="B225" s="34" t="n">
        <v>745.760009765625</v>
      </c>
      <c r="C225" s="34" t="n">
        <v>294.380004882813</v>
      </c>
      <c r="D225" s="34" t="n">
        <v>384.279998779297</v>
      </c>
      <c r="E225" s="34" t="n">
        <v>253.979995727539</v>
      </c>
      <c r="F225" s="34" t="n">
        <v>334.070007324219</v>
      </c>
      <c r="G225" s="34" t="n">
        <v>86.370002746582</v>
      </c>
      <c r="H225" s="34" t="n">
        <v>85.5199966430664</v>
      </c>
      <c r="I225" s="34" t="n">
        <v>370.600006103516</v>
      </c>
      <c r="J225" s="34" t="n">
        <v>96.8199996948242</v>
      </c>
      <c r="L225" s="35" t="n">
        <f aca="false">IF(COUNT(N225:V225)&lt;9,"",SUMPRODUCT($B$12:$J$12,N225:V225))</f>
        <v>0.00741314806890243</v>
      </c>
      <c r="N225" s="35" t="n">
        <f aca="false">IF(OR(B225="",B224="",B224=0),"",B225/B224-1)</f>
        <v>-0.00135250443805846</v>
      </c>
      <c r="O225" s="35" t="n">
        <f aca="false">IF(OR(C225="",C224="",C224=0),"",C225/C224-1)</f>
        <v>0.0173486998388905</v>
      </c>
      <c r="P225" s="35" t="n">
        <f aca="false">IF(OR(D225="",D224="",D224=0),"",D225/D224-1)</f>
        <v>0.0301860760743637</v>
      </c>
      <c r="Q225" s="35" t="n">
        <f aca="false">IF(OR(E225="",E224="",E224=0),"",E225/E224-1)</f>
        <v>3.93530999249769E-005</v>
      </c>
      <c r="R225" s="35" t="n">
        <f aca="false">IF(OR(F225="",F224="",F224=0),"",F225/F224-1)</f>
        <v>0.0205909052895921</v>
      </c>
      <c r="S225" s="35" t="n">
        <f aca="false">IF(OR(G225="",G224="",G224=0),"",G225/G224-1)</f>
        <v>-0.0159507115190827</v>
      </c>
      <c r="T225" s="35" t="n">
        <f aca="false">IF(OR(H225="",H224="",H224=0),"",H225/H224-1)</f>
        <v>-0.010414273836473</v>
      </c>
      <c r="U225" s="35" t="n">
        <f aca="false">IF(OR(I225="",I224="",I224=0),"",I225/I224-1)</f>
        <v>0.00602638903110186</v>
      </c>
      <c r="V225" s="35" t="n">
        <f aca="false">IF(OR(J225="",J224="",J224=0),"",J225/J224-1)</f>
        <v>0.00404437818535897</v>
      </c>
    </row>
    <row r="226" customFormat="false" ht="15" hidden="false" customHeight="false" outlineLevel="0" collapsed="false">
      <c r="A226" s="33" t="n">
        <v>46205</v>
      </c>
      <c r="B226" s="34" t="n">
        <v>744.780029296875</v>
      </c>
      <c r="C226" s="34" t="n">
        <v>308.630004882813</v>
      </c>
      <c r="D226" s="34" t="n">
        <v>390.489990234375</v>
      </c>
      <c r="E226" s="34" t="n">
        <v>263.040008544922</v>
      </c>
      <c r="F226" s="34" t="n">
        <v>334.470001220703</v>
      </c>
      <c r="G226" s="34" t="n">
        <v>88.3399963378906</v>
      </c>
      <c r="H226" s="34" t="n">
        <v>85.5100021362305</v>
      </c>
      <c r="I226" s="34" t="n">
        <v>378.130004882813</v>
      </c>
      <c r="J226" s="34" t="n">
        <v>98.0199966430664</v>
      </c>
      <c r="L226" s="35" t="n">
        <f aca="false">IF(COUNT(N226:V226)&lt;9,"",SUMPRODUCT($B$12:$J$12,N226:V226))</f>
        <v>0.017513112894039</v>
      </c>
      <c r="N226" s="35" t="n">
        <f aca="false">IF(OR(B226="",B225="",B225=0),"",B226/B225-1)</f>
        <v>-0.00131406948068724</v>
      </c>
      <c r="O226" s="35" t="n">
        <f aca="false">IF(OR(C226="",C225="",C225=0),"",C226/C225-1)</f>
        <v>0.0484068203126522</v>
      </c>
      <c r="P226" s="35" t="n">
        <f aca="false">IF(OR(D226="",D225="",D225=0),"",D226/D225-1)</f>
        <v>0.0161600694150219</v>
      </c>
      <c r="Q226" s="35" t="n">
        <f aca="false">IF(OR(E226="",E225="",E225=0),"",E226/E225-1)</f>
        <v>0.035672151231557</v>
      </c>
      <c r="R226" s="35" t="n">
        <f aca="false">IF(OR(F226="",F225="",F225=0),"",F226/F225-1)</f>
        <v>0.00119733555157442</v>
      </c>
      <c r="S226" s="35" t="n">
        <f aca="false">IF(OR(G226="",G225="",G225=0),"",G226/G225-1)</f>
        <v>0.0228087707382474</v>
      </c>
      <c r="T226" s="35" t="n">
        <f aca="false">IF(OR(H226="",H225="",H225=0),"",H226/H225-1)</f>
        <v>-0.00011686748395956</v>
      </c>
      <c r="U226" s="35" t="n">
        <f aca="false">IF(OR(I226="",I225="",I225=0),"",I226/I225-1)</f>
        <v>0.0203183989619085</v>
      </c>
      <c r="V226" s="35" t="n">
        <f aca="false">IF(OR(J226="",J225="",J225=0),"",J226/J225-1)</f>
        <v>0.0123941019626583</v>
      </c>
    </row>
    <row r="227" customFormat="false" ht="15" hidden="false" customHeight="false" outlineLevel="0" collapsed="false">
      <c r="A227" s="33" t="n">
        <v>46209</v>
      </c>
      <c r="B227" s="34" t="n">
        <v>751.280029296875</v>
      </c>
      <c r="C227" s="34" t="n">
        <v>312.660003662109</v>
      </c>
      <c r="D227" s="34" t="n">
        <v>386.739990234375</v>
      </c>
      <c r="E227" s="34" t="n">
        <v>259.329986572266</v>
      </c>
      <c r="F227" s="34" t="n">
        <v>337.720001220703</v>
      </c>
      <c r="G227" s="34" t="n">
        <v>87.4400024414063</v>
      </c>
      <c r="H227" s="34" t="n">
        <v>85.4499969482422</v>
      </c>
      <c r="I227" s="34" t="n">
        <v>382.130004882813</v>
      </c>
      <c r="J227" s="34" t="n">
        <v>97.2399978637695</v>
      </c>
      <c r="L227" s="35" t="n">
        <f aca="false">IF(COUNT(N227:V227)&lt;9,"",SUMPRODUCT($B$12:$J$12,N227:V227))</f>
        <v>0.00203331874466286</v>
      </c>
      <c r="N227" s="35" t="n">
        <f aca="false">IF(OR(B227="",B226="",B226=0),"",B227/B226-1)</f>
        <v>0.00872740909303982</v>
      </c>
      <c r="O227" s="35" t="n">
        <f aca="false">IF(OR(C227="",C226="",C226=0),"",C227/C226-1)</f>
        <v>0.0130577024771981</v>
      </c>
      <c r="P227" s="35" t="n">
        <f aca="false">IF(OR(D227="",D226="",D226=0),"",D227/D226-1)</f>
        <v>-0.00960331914718027</v>
      </c>
      <c r="Q227" s="35" t="n">
        <f aca="false">IF(OR(E227="",E226="",E226=0),"",E227/E226-1)</f>
        <v>-0.0141044018101237</v>
      </c>
      <c r="R227" s="35" t="n">
        <f aca="false">IF(OR(F227="",F226="",F226=0),"",F227/F226-1)</f>
        <v>0.00971686545322026</v>
      </c>
      <c r="S227" s="35" t="n">
        <f aca="false">IF(OR(G227="",G226="",G226=0),"",G227/G226-1)</f>
        <v>-0.0101878416775332</v>
      </c>
      <c r="T227" s="35" t="n">
        <f aca="false">IF(OR(H227="",H226="",H226=0),"",H227/H226-1)</f>
        <v>-0.000701732972625768</v>
      </c>
      <c r="U227" s="35" t="n">
        <f aca="false">IF(OR(I227="",I226="",I226=0),"",I227/I226-1)</f>
        <v>0.0105783723807891</v>
      </c>
      <c r="V227" s="35" t="n">
        <f aca="false">IF(OR(J227="",J226="",J226=0),"",J227/J226-1)</f>
        <v>-0.00795754750061073</v>
      </c>
    </row>
    <row r="228" customFormat="false" ht="15" hidden="false" customHeight="false" outlineLevel="0" collapsed="false">
      <c r="A228" s="33" t="n">
        <v>46210</v>
      </c>
      <c r="B228" s="34" t="n">
        <v>747.710021972656</v>
      </c>
      <c r="C228" s="34" t="n">
        <v>310.660003662109</v>
      </c>
      <c r="D228" s="34" t="n">
        <v>388.839996337891</v>
      </c>
      <c r="E228" s="34" t="n">
        <v>267.239990234375</v>
      </c>
      <c r="F228" s="34" t="n">
        <v>339.220001220703</v>
      </c>
      <c r="G228" s="34" t="n">
        <v>88.4700012207031</v>
      </c>
      <c r="H228" s="34" t="n">
        <v>84.5500030517578</v>
      </c>
      <c r="I228" s="34" t="n">
        <v>377.489990234375</v>
      </c>
      <c r="J228" s="34" t="n">
        <v>98.4000015258789</v>
      </c>
      <c r="L228" s="35" t="n">
        <f aca="false">IF(COUNT(N228:V228)&lt;9,"",SUMPRODUCT($B$12:$J$12,N228:V228))</f>
        <v>0.0013319586474695</v>
      </c>
      <c r="N228" s="35" t="n">
        <f aca="false">IF(OR(B228="",B227="",B227=0),"",B228/B227-1)</f>
        <v>-0.00475189967123202</v>
      </c>
      <c r="O228" s="35" t="n">
        <f aca="false">IF(OR(C228="",C227="",C227=0),"",C228/C227-1)</f>
        <v>-0.00639672480193976</v>
      </c>
      <c r="P228" s="35" t="n">
        <f aca="false">IF(OR(D228="",D227="",D227=0),"",D228/D227-1)</f>
        <v>0.00543002057336595</v>
      </c>
      <c r="Q228" s="35" t="n">
        <f aca="false">IF(OR(E228="",E227="",E227=0),"",E228/E227-1)</f>
        <v>0.0305016931002104</v>
      </c>
      <c r="R228" s="35" t="n">
        <f aca="false">IF(OR(F228="",F227="",F227=0),"",F228/F227-1)</f>
        <v>0.00444154919631101</v>
      </c>
      <c r="S228" s="35" t="n">
        <f aca="false">IF(OR(G228="",G227="",G227=0),"",G228/G227-1)</f>
        <v>0.011779491657574</v>
      </c>
      <c r="T228" s="35" t="n">
        <f aca="false">IF(OR(H228="",H227="",H227=0),"",H228/H227-1)</f>
        <v>-0.0105324040798918</v>
      </c>
      <c r="U228" s="35" t="n">
        <f aca="false">IF(OR(I228="",I227="",I227=0),"",I228/I227-1)</f>
        <v>-0.0121425027847812</v>
      </c>
      <c r="V228" s="35" t="n">
        <f aca="false">IF(OR(J228="",J227="",J227=0),"",J228/J227-1)</f>
        <v>0.0119292851459596</v>
      </c>
    </row>
    <row r="229" customFormat="false" ht="15" hidden="false" customHeight="false" outlineLevel="0" collapsed="false">
      <c r="A229" s="33" t="n">
        <v>46211</v>
      </c>
      <c r="B229" s="34" t="n">
        <v>745.400024414063</v>
      </c>
      <c r="C229" s="34" t="n">
        <v>313.390014648438</v>
      </c>
      <c r="D229" s="34" t="n">
        <v>383.339996337891</v>
      </c>
      <c r="E229" s="34" t="n">
        <v>263.399993896484</v>
      </c>
      <c r="F229" s="34" t="n">
        <v>330.619995117188</v>
      </c>
      <c r="G229" s="34" t="n">
        <v>87.4400024414063</v>
      </c>
      <c r="H229" s="34" t="n">
        <v>84.3600006103516</v>
      </c>
      <c r="I229" s="34" t="n">
        <v>374.450012207031</v>
      </c>
      <c r="J229" s="34" t="n">
        <v>96.8000030517578</v>
      </c>
      <c r="L229" s="35" t="n">
        <f aca="false">IF(COUNT(N229:V229)&lt;9,"",SUMPRODUCT($B$12:$J$12,N229:V229))</f>
        <v>-0.00745229745614855</v>
      </c>
      <c r="N229" s="35" t="n">
        <f aca="false">IF(OR(B229="",B228="",B228=0),"",B229/B228-1)</f>
        <v>-0.00308942971300386</v>
      </c>
      <c r="O229" s="35" t="n">
        <f aca="false">IF(OR(C229="",C228="",C228=0),"",C229/C228-1)</f>
        <v>0.00878777748711523</v>
      </c>
      <c r="P229" s="35" t="n">
        <f aca="false">IF(OR(D229="",D228="",D228=0),"",D229/D228-1)</f>
        <v>-0.0141446354587985</v>
      </c>
      <c r="Q229" s="35" t="n">
        <f aca="false">IF(OR(E229="",E228="",E228=0),"",E229/E228-1)</f>
        <v>-0.0143690932428312</v>
      </c>
      <c r="R229" s="35" t="n">
        <f aca="false">IF(OR(F229="",F228="",F228=0),"",F229/F228-1)</f>
        <v>-0.0253522966587093</v>
      </c>
      <c r="S229" s="35" t="n">
        <f aca="false">IF(OR(G229="",G228="",G228=0),"",G229/G228-1)</f>
        <v>-0.0116423506848077</v>
      </c>
      <c r="T229" s="35" t="n">
        <f aca="false">IF(OR(H229="",H228="",H228=0),"",H229/H228-1)</f>
        <v>-0.00224721980541953</v>
      </c>
      <c r="U229" s="35" t="n">
        <f aca="false">IF(OR(I229="",I228="",I228=0),"",I229/I228-1)</f>
        <v>-0.008053135463159</v>
      </c>
      <c r="V229" s="35" t="n">
        <f aca="false">IF(OR(J229="",J228="",J228=0),"",J229/J228-1)</f>
        <v>-0.0162601468425823</v>
      </c>
    </row>
    <row r="230" customFormat="false" ht="15" hidden="false" customHeight="false" outlineLevel="0" collapsed="false">
      <c r="A230" s="33" t="n">
        <v>46212</v>
      </c>
      <c r="B230" s="34" t="n">
        <v>751.710021972656</v>
      </c>
      <c r="C230" s="34" t="n">
        <v>316.220001220703</v>
      </c>
      <c r="D230" s="34" t="n">
        <v>384.359985351563</v>
      </c>
      <c r="E230" s="34" t="n">
        <v>259.100006103516</v>
      </c>
      <c r="F230" s="34" t="n">
        <v>335.470001220703</v>
      </c>
      <c r="G230" s="34" t="n">
        <v>87.0999984741211</v>
      </c>
      <c r="H230" s="34" t="n">
        <v>84.4899978637695</v>
      </c>
      <c r="I230" s="34" t="n">
        <v>378.179992675781</v>
      </c>
      <c r="J230" s="34" t="n">
        <v>97.0899963378906</v>
      </c>
      <c r="L230" s="35" t="n">
        <f aca="false">IF(COUNT(N230:V230)&lt;9,"",SUMPRODUCT($B$12:$J$12,N230:V230))</f>
        <v>0.00431027077822423</v>
      </c>
      <c r="N230" s="35" t="n">
        <f aca="false">IF(OR(B230="",B229="",B229=0),"",B230/B229-1)</f>
        <v>0.00846525000257836</v>
      </c>
      <c r="O230" s="35" t="n">
        <f aca="false">IF(OR(C230="",C229="",C229=0),"",C230/C229-1)</f>
        <v>0.00903023848873952</v>
      </c>
      <c r="P230" s="35" t="n">
        <f aca="false">IF(OR(D230="",D229="",D229=0),"",D230/D229-1)</f>
        <v>0.00266079465596114</v>
      </c>
      <c r="Q230" s="35" t="n">
        <f aca="false">IF(OR(E230="",E229="",E229=0),"",E230/E229-1)</f>
        <v>-0.0163249350516608</v>
      </c>
      <c r="R230" s="35" t="n">
        <f aca="false">IF(OR(F230="",F229="",F229=0),"",F230/F229-1)</f>
        <v>0.0146694276666355</v>
      </c>
      <c r="S230" s="35" t="n">
        <f aca="false">IF(OR(G230="",G229="",G229=0),"",G230/G229-1)</f>
        <v>-0.0038884258667885</v>
      </c>
      <c r="T230" s="35" t="n">
        <f aca="false">IF(OR(H230="",H229="",H229=0),"",H230/H229-1)</f>
        <v>0.00154098212988796</v>
      </c>
      <c r="U230" s="35" t="n">
        <f aca="false">IF(OR(I230="",I229="",I229=0),"",I230/I229-1)</f>
        <v>0.00996122405435451</v>
      </c>
      <c r="V230" s="35" t="n">
        <f aca="false">IF(OR(J230="",J229="",J229=0),"",J230/J229-1)</f>
        <v>0.00299579831601604</v>
      </c>
    </row>
    <row r="231" customFormat="false" ht="15" hidden="false" customHeight="false" outlineLevel="0" collapsed="false">
      <c r="A231" s="33" t="n">
        <v>46213</v>
      </c>
      <c r="B231" s="34" t="n">
        <v>754.950012207031</v>
      </c>
      <c r="C231" s="34" t="n">
        <v>315.320007324219</v>
      </c>
      <c r="D231" s="34" t="n">
        <v>385.100006103516</v>
      </c>
      <c r="E231" s="34" t="n">
        <v>256.980010986328</v>
      </c>
      <c r="F231" s="34" t="n">
        <v>336.470001220703</v>
      </c>
      <c r="G231" s="34" t="n">
        <v>87.9599990844727</v>
      </c>
      <c r="H231" s="34" t="n">
        <v>84.4700012207031</v>
      </c>
      <c r="I231" s="34" t="n">
        <v>377.010009765625</v>
      </c>
      <c r="J231" s="34" t="n">
        <v>97.3199996948242</v>
      </c>
      <c r="L231" s="35" t="n">
        <f aca="false">IF(COUNT(N231:V231)&lt;9,"",SUMPRODUCT($B$12:$J$12,N231:V231))</f>
        <v>0.000270471603682318</v>
      </c>
      <c r="N231" s="35" t="n">
        <f aca="false">IF(OR(B231="",B230="",B230=0),"",B231/B230-1)</f>
        <v>0.004310159688802</v>
      </c>
      <c r="O231" s="35" t="n">
        <f aca="false">IF(OR(C231="",C230="",C230=0),"",C231/C230-1)</f>
        <v>-0.00284610047754663</v>
      </c>
      <c r="P231" s="35" t="n">
        <f aca="false">IF(OR(D231="",D230="",D230=0),"",D231/D230-1)</f>
        <v>0.00192533244915216</v>
      </c>
      <c r="Q231" s="35" t="n">
        <f aca="false">IF(OR(E231="",E230="",E230=0),"",E231/E230-1)</f>
        <v>-0.00818215000867673</v>
      </c>
      <c r="R231" s="35" t="n">
        <f aca="false">IF(OR(F231="",F230="",F230=0),"",F231/F230-1)</f>
        <v>0.00298089246836142</v>
      </c>
      <c r="S231" s="35" t="n">
        <f aca="false">IF(OR(G231="",G230="",G230=0),"",G231/G230-1)</f>
        <v>0.00987371556162686</v>
      </c>
      <c r="T231" s="35" t="n">
        <f aca="false">IF(OR(H231="",H230="",H230=0),"",H231/H230-1)</f>
        <v>-0.000236674678328774</v>
      </c>
      <c r="U231" s="35" t="n">
        <f aca="false">IF(OR(I231="",I230="",I230=0),"",I231/I230-1)</f>
        <v>-0.00309371974407713</v>
      </c>
      <c r="V231" s="35" t="n">
        <f aca="false">IF(OR(J231="",J230="",J230=0),"",J231/J230-1)</f>
        <v>0.00236897070356412</v>
      </c>
    </row>
    <row r="232" customFormat="false" ht="15" hidden="false" customHeight="false" outlineLevel="0" collapsed="false">
      <c r="A232" s="33" t="n">
        <v>46216</v>
      </c>
      <c r="B232" s="34" t="n">
        <v>749.169982910156</v>
      </c>
      <c r="C232" s="34" t="n">
        <v>317.309997558594</v>
      </c>
      <c r="D232" s="34" t="n">
        <v>390.989990234375</v>
      </c>
      <c r="E232" s="34" t="n">
        <v>257.769989013672</v>
      </c>
      <c r="F232" s="34" t="n">
        <v>334.529998779297</v>
      </c>
      <c r="G232" s="34" t="n">
        <v>88.379997253418</v>
      </c>
      <c r="H232" s="34" t="n">
        <v>83.9700012207031</v>
      </c>
      <c r="I232" s="34" t="n">
        <v>367.130004882813</v>
      </c>
      <c r="J232" s="34" t="n">
        <v>97.8300018310547</v>
      </c>
      <c r="L232" s="35" t="n">
        <f aca="false">IF(COUNT(N232:V232)&lt;9,"",SUMPRODUCT($B$12:$J$12,N232:V232))</f>
        <v>-0.00142489297594414</v>
      </c>
      <c r="N232" s="35" t="n">
        <f aca="false">IF(OR(B232="",B231="",B231=0),"",B232/B231-1)</f>
        <v>-0.00765617485054093</v>
      </c>
      <c r="O232" s="35" t="n">
        <f aca="false">IF(OR(C232="",C231="",C231=0),"",C232/C231-1)</f>
        <v>0.00631101797587119</v>
      </c>
      <c r="P232" s="35" t="n">
        <f aca="false">IF(OR(D232="",D231="",D231=0),"",D232/D231-1)</f>
        <v>0.0152946871916584</v>
      </c>
      <c r="Q232" s="35" t="n">
        <f aca="false">IF(OR(E232="",E231="",E231=0),"",E232/E231-1)</f>
        <v>0.00307408356125416</v>
      </c>
      <c r="R232" s="35" t="n">
        <f aca="false">IF(OR(F232="",F231="",F231=0),"",F232/F231-1)</f>
        <v>-0.00576575158072856</v>
      </c>
      <c r="S232" s="35" t="n">
        <f aca="false">IF(OR(G232="",G231="",G231=0),"",G232/G231-1)</f>
        <v>0.00477487691356093</v>
      </c>
      <c r="T232" s="35" t="n">
        <f aca="false">IF(OR(H232="",H231="",H231=0),"",H232/H231-1)</f>
        <v>-0.00591926119065156</v>
      </c>
      <c r="U232" s="35" t="n">
        <f aca="false">IF(OR(I232="",I231="",I231=0),"",I232/I231-1)</f>
        <v>-0.0262062136996152</v>
      </c>
      <c r="V232" s="35" t="n">
        <f aca="false">IF(OR(J232="",J231="",J231=0),"",J232/J231-1)</f>
        <v>0.00524046586343774</v>
      </c>
    </row>
    <row r="233" customFormat="false" ht="15" hidden="false" customHeight="false" outlineLevel="0" collapsed="false">
      <c r="A233" s="33" t="n">
        <v>46217</v>
      </c>
      <c r="B233" s="34" t="n">
        <v>751.830017089844</v>
      </c>
      <c r="C233" s="34" t="n">
        <v>314.859985351563</v>
      </c>
      <c r="D233" s="34" t="n">
        <v>384.929992675781</v>
      </c>
      <c r="E233" s="34" t="n">
        <v>253.850006103516</v>
      </c>
      <c r="F233" s="34" t="n">
        <v>342.890014648438</v>
      </c>
      <c r="G233" s="34" t="n">
        <v>89.5400009155273</v>
      </c>
      <c r="H233" s="34" t="n">
        <v>84.0800018310547</v>
      </c>
      <c r="I233" s="34" t="n">
        <v>372.149993896484</v>
      </c>
      <c r="J233" s="34" t="n">
        <v>97.5699996948242</v>
      </c>
      <c r="L233" s="35" t="n">
        <f aca="false">IF(COUNT(N233:V233)&lt;9,"",SUMPRODUCT($B$12:$J$12,N233:V233))</f>
        <v>2.14363038751407E-005</v>
      </c>
      <c r="N233" s="35" t="n">
        <f aca="false">IF(OR(B233="",B232="",B232=0),"",B233/B232-1)</f>
        <v>0.00355064169730213</v>
      </c>
      <c r="O233" s="35" t="n">
        <f aca="false">IF(OR(C233="",C232="",C232=0),"",C233/C232-1)</f>
        <v>-0.00772119449712128</v>
      </c>
      <c r="P233" s="35" t="n">
        <f aca="false">IF(OR(D233="",D232="",D232=0),"",D233/D232-1)</f>
        <v>-0.0154991117674429</v>
      </c>
      <c r="Q233" s="35" t="n">
        <f aca="false">IF(OR(E233="",E232="",E232=0),"",E233/E232-1)</f>
        <v>-0.0152072897436795</v>
      </c>
      <c r="R233" s="35" t="n">
        <f aca="false">IF(OR(F233="",F232="",F232=0),"",F233/F232-1)</f>
        <v>0.0249903324056042</v>
      </c>
      <c r="S233" s="35" t="n">
        <f aca="false">IF(OR(G233="",G232="",G232=0),"",G233/G232-1)</f>
        <v>0.0131251832785551</v>
      </c>
      <c r="T233" s="35" t="n">
        <f aca="false">IF(OR(H233="",H232="",H232=0),"",H233/H232-1)</f>
        <v>0.00130999891333206</v>
      </c>
      <c r="U233" s="35" t="n">
        <f aca="false">IF(OR(I233="",I232="",I232=0),"",I233/I232-1)</f>
        <v>0.0136736004873079</v>
      </c>
      <c r="V233" s="35" t="n">
        <f aca="false">IF(OR(J233="",J232="",J232=0),"",J233/J232-1)</f>
        <v>-0.00265769325732512</v>
      </c>
    </row>
    <row r="234" customFormat="false" ht="15" hidden="false" customHeight="false" outlineLevel="0" collapsed="false">
      <c r="A234" s="33" t="n">
        <v>46218</v>
      </c>
      <c r="B234" s="34" t="n">
        <v>754.809997558594</v>
      </c>
      <c r="C234" s="34" t="n">
        <v>327.5</v>
      </c>
      <c r="D234" s="34" t="n">
        <v>395.630004882813</v>
      </c>
      <c r="E234" s="34" t="n">
        <v>247.020004272461</v>
      </c>
      <c r="F234" s="34" t="n">
        <v>346.910003662109</v>
      </c>
      <c r="G234" s="34" t="n">
        <v>89.0999984741211</v>
      </c>
      <c r="H234" s="34" t="n">
        <v>84.2399978637695</v>
      </c>
      <c r="I234" s="34" t="n">
        <v>372.350006103516</v>
      </c>
      <c r="J234" s="34" t="n">
        <v>97.8600006103516</v>
      </c>
      <c r="L234" s="35" t="n">
        <f aca="false">IF(COUNT(N234:V234)&lt;9,"",SUMPRODUCT($B$12:$J$12,N234:V234))</f>
        <v>0.00938350733557003</v>
      </c>
      <c r="N234" s="35" t="n">
        <f aca="false">IF(OR(B234="",B233="",B233=0),"",B234/B233-1)</f>
        <v>0.00396363592968108</v>
      </c>
      <c r="O234" s="35" t="n">
        <f aca="false">IF(OR(C234="",C233="",C233=0),"",C234/C233-1)</f>
        <v>0.0401448746633317</v>
      </c>
      <c r="P234" s="35" t="n">
        <f aca="false">IF(OR(D234="",D233="",D233=0),"",D234/D233-1)</f>
        <v>0.0277972940810678</v>
      </c>
      <c r="Q234" s="35" t="n">
        <f aca="false">IF(OR(E234="",E233="",E233=0),"",E234/E233-1)</f>
        <v>-0.026905659510876</v>
      </c>
      <c r="R234" s="35" t="n">
        <f aca="false">IF(OR(F234="",F233="",F233=0),"",F234/F233-1)</f>
        <v>0.0117238439206013</v>
      </c>
      <c r="S234" s="35" t="n">
        <f aca="false">IF(OR(G234="",G233="",G233=0),"",G234/G233-1)</f>
        <v>-0.00491403212985564</v>
      </c>
      <c r="T234" s="35" t="n">
        <f aca="false">IF(OR(H234="",H233="",H233=0),"",H234/H233-1)</f>
        <v>0.00190290234574797</v>
      </c>
      <c r="U234" s="35" t="n">
        <f aca="false">IF(OR(I234="",I233="",I233=0),"",I234/I233-1)</f>
        <v>0.000537450518103944</v>
      </c>
      <c r="V234" s="35" t="n">
        <f aca="false">IF(OR(J234="",J233="",J233=0),"",J234/J233-1)</f>
        <v>0.00297223446176553</v>
      </c>
    </row>
    <row r="235" customFormat="false" ht="15" hidden="false" customHeight="false" outlineLevel="0" collapsed="false">
      <c r="A235" s="33" t="n">
        <v>46219</v>
      </c>
      <c r="B235" s="34" t="n">
        <v>750.719970703125</v>
      </c>
      <c r="C235" s="34" t="n">
        <v>333.260009765625</v>
      </c>
      <c r="D235" s="34" t="n">
        <v>401.100006103516</v>
      </c>
      <c r="E235" s="34" t="n">
        <v>249.970001220703</v>
      </c>
      <c r="F235" s="34" t="n">
        <v>343.149993896484</v>
      </c>
      <c r="G235" s="34" t="n">
        <v>89.3499984741211</v>
      </c>
      <c r="H235" s="34" t="n">
        <v>84.2099990844727</v>
      </c>
      <c r="I235" s="34" t="n">
        <v>364.959991455078</v>
      </c>
      <c r="J235" s="34" t="n">
        <v>100.069999694824</v>
      </c>
      <c r="L235" s="35" t="n">
        <f aca="false">IF(COUNT(N235:V235)&lt;9,"",SUMPRODUCT($B$12:$J$12,N235:V235))</f>
        <v>0.00355667583939492</v>
      </c>
      <c r="N235" s="35" t="n">
        <f aca="false">IF(OR(B235="",B234="",B234=0),"",B235/B234-1)</f>
        <v>-0.00541861775638641</v>
      </c>
      <c r="O235" s="35" t="n">
        <f aca="false">IF(OR(C235="",C234="",C234=0),"",C235/C234-1)</f>
        <v>0.0175878160782443</v>
      </c>
      <c r="P235" s="35" t="n">
        <f aca="false">IF(OR(D235="",D234="",D234=0),"",D235/D234-1)</f>
        <v>0.0138260525066172</v>
      </c>
      <c r="Q235" s="35" t="n">
        <f aca="false">IF(OR(E235="",E234="",E234=0),"",E235/E234-1)</f>
        <v>0.0119423402850734</v>
      </c>
      <c r="R235" s="35" t="n">
        <f aca="false">IF(OR(F235="",F234="",F234=0),"",F235/F234-1)</f>
        <v>-0.0108385740564785</v>
      </c>
      <c r="S235" s="35" t="n">
        <f aca="false">IF(OR(G235="",G234="",G234=0),"",G235/G234-1)</f>
        <v>0.00280583618722075</v>
      </c>
      <c r="T235" s="35" t="n">
        <f aca="false">IF(OR(H235="",H234="",H234=0),"",H235/H234-1)</f>
        <v>-0.000356110874377258</v>
      </c>
      <c r="U235" s="35" t="n">
        <f aca="false">IF(OR(I235="",I234="",I234=0),"",I235/I234-1)</f>
        <v>-0.0198469572372816</v>
      </c>
      <c r="V235" s="35" t="n">
        <f aca="false">IF(OR(J235="",J234="",J234=0),"",J235/J234-1)</f>
        <v>0.0225832727435997</v>
      </c>
    </row>
    <row r="236" customFormat="false" ht="15" hidden="false" customHeight="false" outlineLevel="0" collapsed="false">
      <c r="A236" s="33" t="n">
        <v>46220</v>
      </c>
      <c r="B236" s="34" t="n">
        <v>743.289978027344</v>
      </c>
      <c r="C236" s="34" t="n">
        <v>333.739990234375</v>
      </c>
      <c r="D236" s="34" t="n">
        <v>393.820007324219</v>
      </c>
      <c r="E236" s="34" t="n">
        <v>253.039993286133</v>
      </c>
      <c r="F236" s="34" t="n">
        <v>341.100006103516</v>
      </c>
      <c r="G236" s="34" t="n">
        <v>88.8000030517578</v>
      </c>
      <c r="H236" s="34" t="n">
        <v>84.5199966430664</v>
      </c>
      <c r="I236" s="34" t="n">
        <v>368.410003662109</v>
      </c>
      <c r="J236" s="34" t="n">
        <v>100.019996643066</v>
      </c>
      <c r="L236" s="35" t="n">
        <f aca="false">IF(COUNT(N236:V236)&lt;9,"",SUMPRODUCT($B$12:$J$12,N236:V236))</f>
        <v>-0.00216949075367353</v>
      </c>
      <c r="N236" s="35" t="n">
        <f aca="false">IF(OR(B236="",B235="",B235=0),"",B236/B235-1)</f>
        <v>-0.00989715601787189</v>
      </c>
      <c r="O236" s="35" t="n">
        <f aca="false">IF(OR(C236="",C235="",C235=0),"",C236/C235-1)</f>
        <v>0.00144025822086347</v>
      </c>
      <c r="P236" s="35" t="n">
        <f aca="false">IF(OR(D236="",D235="",D235=0),"",D236/D235-1)</f>
        <v>-0.018150083940458</v>
      </c>
      <c r="Q236" s="35" t="n">
        <f aca="false">IF(OR(E236="",E235="",E235=0),"",E236/E235-1)</f>
        <v>0.012281441974789</v>
      </c>
      <c r="R236" s="35" t="n">
        <f aca="false">IF(OR(F236="",F235="",F235=0),"",F236/F235-1)</f>
        <v>-0.00597402835328731</v>
      </c>
      <c r="S236" s="35" t="n">
        <f aca="false">IF(OR(G236="",G235="",G235=0),"",G236/G235-1)</f>
        <v>-0.006155516863524</v>
      </c>
      <c r="T236" s="35" t="n">
        <f aca="false">IF(OR(H236="",H235="",H235=0),"",H236/H235-1)</f>
        <v>0.0036812440560976</v>
      </c>
      <c r="U236" s="35" t="n">
        <f aca="false">IF(OR(I236="",I235="",I235=0),"",I236/I235-1)</f>
        <v>0.00945312441858603</v>
      </c>
      <c r="V236" s="35" t="n">
        <f aca="false">IF(OR(J236="",J235="",J235=0),"",J236/J235-1)</f>
        <v>-0.000499680742585218</v>
      </c>
    </row>
    <row r="237" customFormat="false" ht="15" hidden="false" customHeight="false" outlineLevel="0" collapsed="false">
      <c r="A237" s="33" t="n">
        <v>46223</v>
      </c>
      <c r="B237" s="34" t="n">
        <v>742.090026855469</v>
      </c>
      <c r="C237" s="34" t="n">
        <v>326.589996337891</v>
      </c>
      <c r="D237" s="34" t="n">
        <v>402.290008544922</v>
      </c>
      <c r="E237" s="34" t="n">
        <v>248.820007324219</v>
      </c>
      <c r="F237" s="34" t="n">
        <v>338.869995117188</v>
      </c>
      <c r="G237" s="34" t="n">
        <v>88</v>
      </c>
      <c r="H237" s="34" t="n">
        <v>83.8899993896484</v>
      </c>
      <c r="I237" s="34" t="n">
        <v>367.600006103516</v>
      </c>
      <c r="J237" s="34" t="n">
        <v>99.4800033569336</v>
      </c>
      <c r="L237" s="35" t="n">
        <f aca="false">IF(COUNT(N237:V237)&lt;9,"",SUMPRODUCT($B$12:$J$12,N237:V237))</f>
        <v>-0.00523830313078799</v>
      </c>
      <c r="N237" s="35" t="n">
        <f aca="false">IF(OR(B237="",B236="",B236=0),"",B237/B236-1)</f>
        <v>-0.00161437824718103</v>
      </c>
      <c r="O237" s="35" t="n">
        <f aca="false">IF(OR(C237="",C236="",C236=0),"",C237/C236-1)</f>
        <v>-0.021423845225928</v>
      </c>
      <c r="P237" s="35" t="n">
        <f aca="false">IF(OR(D237="",D236="",D236=0),"",D237/D236-1)</f>
        <v>0.0215072902929736</v>
      </c>
      <c r="Q237" s="35" t="n">
        <f aca="false">IF(OR(E237="",E236="",E236=0),"",E237/E236-1)</f>
        <v>-0.0166771501497083</v>
      </c>
      <c r="R237" s="35" t="n">
        <f aca="false">IF(OR(F237="",F236="",F236=0),"",F237/F236-1)</f>
        <v>-0.00653770432842282</v>
      </c>
      <c r="S237" s="35" t="n">
        <f aca="false">IF(OR(G237="",G236="",G236=0),"",G237/G236-1)</f>
        <v>-0.00900904306604033</v>
      </c>
      <c r="T237" s="35" t="n">
        <f aca="false">IF(OR(H237="",H236="",H236=0),"",H237/H236-1)</f>
        <v>-0.00745382487505919</v>
      </c>
      <c r="U237" s="35" t="n">
        <f aca="false">IF(OR(I237="",I236="",I236=0),"",I237/I236-1)</f>
        <v>-0.00219863073896287</v>
      </c>
      <c r="V237" s="35" t="n">
        <f aca="false">IF(OR(J237="",J236="",J236=0),"",J237/J236-1)</f>
        <v>-0.00539885327190559</v>
      </c>
    </row>
    <row r="238" customFormat="false" ht="15" hidden="false" customHeight="false" outlineLevel="0" collapsed="false">
      <c r="A238" s="33" t="n">
        <v>46224</v>
      </c>
      <c r="B238" s="34" t="n">
        <v>748.280029296875</v>
      </c>
      <c r="C238" s="34" t="n">
        <v>327.739990234375</v>
      </c>
      <c r="D238" s="34" t="n">
        <v>397.75</v>
      </c>
      <c r="E238" s="34" t="n">
        <v>250.610000610352</v>
      </c>
      <c r="F238" s="34" t="n">
        <v>345.230010986328</v>
      </c>
      <c r="G238" s="34" t="n">
        <v>87.9300003051758</v>
      </c>
      <c r="H238" s="34" t="n">
        <v>83.6600036621094</v>
      </c>
      <c r="I238" s="34" t="n">
        <v>374.809997558594</v>
      </c>
      <c r="J238" s="34" t="n">
        <v>99.5199966430664</v>
      </c>
      <c r="L238" s="35" t="n">
        <f aca="false">IF(COUNT(N238:V238)&lt;9,"",SUMPRODUCT($B$12:$J$12,N238:V238))</f>
        <v>0.0049352517859606</v>
      </c>
      <c r="N238" s="35" t="n">
        <f aca="false">IF(OR(B238="",B237="",B237=0),"",B238/B237-1)</f>
        <v>0.00834130929859756</v>
      </c>
      <c r="O238" s="35" t="n">
        <f aca="false">IF(OR(C238="",C237="",C237=0),"",C238/C237-1)</f>
        <v>0.0035212159263267</v>
      </c>
      <c r="P238" s="35" t="n">
        <f aca="false">IF(OR(D238="",D237="",D237=0),"",D238/D237-1)</f>
        <v>-0.0112854121367397</v>
      </c>
      <c r="Q238" s="35" t="n">
        <f aca="false">IF(OR(E238="",E237="",E237=0),"",E238/E237-1)</f>
        <v>0.00719392827523135</v>
      </c>
      <c r="R238" s="35" t="n">
        <f aca="false">IF(OR(F238="",F237="",F237=0),"",F238/F237-1)</f>
        <v>0.018768306314463</v>
      </c>
      <c r="S238" s="35" t="n">
        <f aca="false">IF(OR(G238="",G237="",G237=0),"",G238/G237-1)</f>
        <v>-0.000795451077547749</v>
      </c>
      <c r="T238" s="35" t="n">
        <f aca="false">IF(OR(H238="",H237="",H237=0),"",H238/H237-1)</f>
        <v>-0.00274163463121169</v>
      </c>
      <c r="U238" s="35" t="n">
        <f aca="false">IF(OR(I238="",I237="",I237=0),"",I238/I237-1)</f>
        <v>0.0196136869841281</v>
      </c>
      <c r="V238" s="35" t="n">
        <f aca="false">IF(OR(J238="",J237="",J237=0),"",J238/J237-1)</f>
        <v>0.000402023369353133</v>
      </c>
    </row>
    <row r="239" customFormat="false" ht="15" hidden="false" customHeight="false" outlineLevel="0" collapsed="false">
      <c r="A239" s="33" t="n">
        <v>46225</v>
      </c>
      <c r="B239" s="34" t="n">
        <v>747.409973144531</v>
      </c>
      <c r="C239" s="34" t="n">
        <v>325.890014648438</v>
      </c>
      <c r="D239" s="34" t="n">
        <v>390.339996337891</v>
      </c>
      <c r="E239" s="34" t="n">
        <v>255.630004882813</v>
      </c>
      <c r="F239" s="34" t="n">
        <v>348.209991455078</v>
      </c>
      <c r="G239" s="34" t="n">
        <v>89.4100036621094</v>
      </c>
      <c r="H239" s="34" t="n">
        <v>83.4400024414063</v>
      </c>
      <c r="I239" s="34" t="n">
        <v>379.119995117188</v>
      </c>
      <c r="J239" s="34" t="n">
        <v>99.0199966430664</v>
      </c>
      <c r="L239" s="35" t="n">
        <f aca="false">IF(COUNT(N239:V239)&lt;9,"",SUMPRODUCT($B$12:$J$12,N239:V239))</f>
        <v>0.000617679091630043</v>
      </c>
      <c r="N239" s="35" t="n">
        <f aca="false">IF(OR(B239="",B238="",B238=0),"",B239/B238-1)</f>
        <v>-0.00116274137793249</v>
      </c>
      <c r="O239" s="35" t="n">
        <f aca="false">IF(OR(C239="",C238="",C238=0),"",C239/C238-1)</f>
        <v>-0.00564464405034626</v>
      </c>
      <c r="P239" s="35" t="n">
        <f aca="false">IF(OR(D239="",D238="",D238=0),"",D239/D238-1)</f>
        <v>-0.0186298017903431</v>
      </c>
      <c r="Q239" s="35" t="n">
        <f aca="false">IF(OR(E239="",E238="",E238=0),"",E239/E238-1)</f>
        <v>0.0200311410567615</v>
      </c>
      <c r="R239" s="35" t="n">
        <f aca="false">IF(OR(F239="",F238="",F238=0),"",F239/F238-1)</f>
        <v>0.00863186969242946</v>
      </c>
      <c r="S239" s="35" t="n">
        <f aca="false">IF(OR(G239="",G238="",G238=0),"",G239/G238-1)</f>
        <v>0.0168316086864211</v>
      </c>
      <c r="T239" s="35" t="n">
        <f aca="false">IF(OR(H239="",H238="",H238=0),"",H239/H238-1)</f>
        <v>-0.00262970608502067</v>
      </c>
      <c r="U239" s="35" t="n">
        <f aca="false">IF(OR(I239="",I238="",I238=0),"",I239/I238-1)</f>
        <v>0.0114991531353703</v>
      </c>
      <c r="V239" s="35" t="n">
        <f aca="false">IF(OR(J239="",J238="",J238=0),"",J239/J238-1)</f>
        <v>-0.00502411592509666</v>
      </c>
    </row>
    <row r="240" customFormat="false" ht="15" hidden="false" customHeight="false" outlineLevel="0" collapsed="false">
      <c r="A240" s="33" t="n">
        <v>46226</v>
      </c>
      <c r="B240" s="34" t="n">
        <v>738.179992675781</v>
      </c>
      <c r="C240" s="34" t="n">
        <v>321.660003662109</v>
      </c>
      <c r="D240" s="34" t="n">
        <v>381.579986572266</v>
      </c>
      <c r="E240" s="34" t="n">
        <v>259.269989013672</v>
      </c>
      <c r="F240" s="34" t="n">
        <v>349.899993896484</v>
      </c>
      <c r="G240" s="34" t="n">
        <v>89.7900009155273</v>
      </c>
      <c r="H240" s="34" t="n">
        <v>83.1699981689453</v>
      </c>
      <c r="I240" s="34" t="n">
        <v>371.519989013672</v>
      </c>
      <c r="J240" s="34" t="n">
        <v>98.6900024414063</v>
      </c>
      <c r="L240" s="35" t="n">
        <f aca="false">IF(COUNT(N240:V240)&lt;9,"",SUMPRODUCT($B$12:$J$12,N240:V240))</f>
        <v>-0.0078740922965773</v>
      </c>
      <c r="N240" s="35" t="n">
        <f aca="false">IF(OR(B240="",B239="",B239=0),"",B240/B239-1)</f>
        <v>-0.0123492872725758</v>
      </c>
      <c r="O240" s="35" t="n">
        <f aca="false">IF(OR(C240="",C239="",C239=0),"",C240/C239-1)</f>
        <v>-0.0129798729515915</v>
      </c>
      <c r="P240" s="35" t="n">
        <f aca="false">IF(OR(D240="",D239="",D239=0),"",D240/D239-1)</f>
        <v>-0.0224419988927859</v>
      </c>
      <c r="Q240" s="35" t="n">
        <f aca="false">IF(OR(E240="",E239="",E239=0),"",E240/E239-1)</f>
        <v>0.0142392679315075</v>
      </c>
      <c r="R240" s="35" t="n">
        <f aca="false">IF(OR(F240="",F239="",F239=0),"",F240/F239-1)</f>
        <v>0.00485340019780556</v>
      </c>
      <c r="S240" s="35" t="n">
        <f aca="false">IF(OR(G240="",G239="",G239=0),"",G240/G239-1)</f>
        <v>0.00425005299019943</v>
      </c>
      <c r="T240" s="35" t="n">
        <f aca="false">IF(OR(H240="",H239="",H239=0),"",H240/H239-1)</f>
        <v>-0.00323590921094008</v>
      </c>
      <c r="U240" s="35" t="n">
        <f aca="false">IF(OR(I240="",I239="",I239=0),"",I240/I239-1)</f>
        <v>-0.0200464396534054</v>
      </c>
      <c r="V240" s="35" t="n">
        <f aca="false">IF(OR(J240="",J239="",J239=0),"",J240/J239-1)</f>
        <v>-0.00333260162439331</v>
      </c>
    </row>
    <row r="241" customFormat="false" ht="15" hidden="false" customHeight="false" outlineLevel="0" collapsed="false">
      <c r="A241" s="33" t="n">
        <v>46227</v>
      </c>
      <c r="B241" s="34" t="n">
        <v>738.929992675781</v>
      </c>
      <c r="C241" s="34" t="n">
        <v>333.019989013672</v>
      </c>
      <c r="D241" s="34" t="n">
        <v>381.700012207031</v>
      </c>
      <c r="E241" s="34" t="n">
        <v>263.399993896484</v>
      </c>
      <c r="F241" s="34" t="n">
        <v>353.209991455078</v>
      </c>
      <c r="G241" s="34" t="n">
        <v>89.7799987792969</v>
      </c>
      <c r="H241" s="34" t="n">
        <v>83.25</v>
      </c>
      <c r="I241" s="34" t="n">
        <v>371.899993896484</v>
      </c>
      <c r="J241" s="34" t="n">
        <v>100.809997558594</v>
      </c>
      <c r="L241" s="35" t="n">
        <f aca="false">IF(COUNT(N241:V241)&lt;9,"",SUMPRODUCT($B$12:$J$12,N241:V241))</f>
        <v>0.0103350436958711</v>
      </c>
      <c r="N241" s="35" t="n">
        <f aca="false">IF(OR(B241="",B240="",B240=0),"",B241/B240-1)</f>
        <v>0.0010160123647911</v>
      </c>
      <c r="O241" s="35" t="n">
        <f aca="false">IF(OR(C241="",C240="",C240=0),"",C241/C240-1)</f>
        <v>0.0353167481882399</v>
      </c>
      <c r="P241" s="35" t="n">
        <f aca="false">IF(OR(D241="",D240="",D240=0),"",D241/D240-1)</f>
        <v>0.00031454908273143</v>
      </c>
      <c r="Q241" s="35" t="n">
        <f aca="false">IF(OR(E241="",E240="",E240=0),"",E241/E240-1)</f>
        <v>0.0159293595781123</v>
      </c>
      <c r="R241" s="35" t="n">
        <f aca="false">IF(OR(F241="",F240="",F240=0),"",F241/F240-1)</f>
        <v>0.00945983885776602</v>
      </c>
      <c r="S241" s="35" t="n">
        <f aca="false">IF(OR(G241="",G240="",G240=0),"",G241/G240-1)</f>
        <v>-0.000111394766994288</v>
      </c>
      <c r="T241" s="35" t="n">
        <f aca="false">IF(OR(H241="",H240="",H240=0),"",H241/H240-1)</f>
        <v>0.00096190733216317</v>
      </c>
      <c r="U241" s="35" t="n">
        <f aca="false">IF(OR(I241="",I240="",I240=0),"",I241/I240-1)</f>
        <v>0.00102283832377581</v>
      </c>
      <c r="V241" s="35" t="n">
        <f aca="false">IF(OR(J241="",J240="",J240=0),"",J241/J240-1)</f>
        <v>0.0214813564164857</v>
      </c>
    </row>
    <row r="242" customFormat="false" ht="15" hidden="false" customHeight="false" outlineLevel="0" collapsed="false">
      <c r="A242" s="33" t="n">
        <v>46230</v>
      </c>
      <c r="B242" s="34" t="n">
        <v>739.090026855469</v>
      </c>
      <c r="C242" s="34" t="n">
        <v>336.910003662109</v>
      </c>
      <c r="D242" s="34" t="n">
        <v>389.100006103516</v>
      </c>
      <c r="E242" s="34" t="n">
        <v>265.950012207031</v>
      </c>
      <c r="F242" s="34" t="n">
        <v>356.200012207031</v>
      </c>
      <c r="G242" s="34" t="n">
        <v>88.8300018310547</v>
      </c>
      <c r="H242" s="34" t="n">
        <v>83.75</v>
      </c>
      <c r="I242" s="34" t="n">
        <v>374.630004882813</v>
      </c>
      <c r="J242" s="34" t="n">
        <v>100.540000915527</v>
      </c>
      <c r="L242" s="35" t="n">
        <f aca="false">IF(COUNT(N242:V242)&lt;9,"",SUMPRODUCT($B$12:$J$12,N242:V242))</f>
        <v>0.0069142923941663</v>
      </c>
      <c r="N242" s="35" t="n">
        <f aca="false">IF(OR(B242="",B241="",B241=0),"",B242/B241-1)</f>
        <v>0.000216575563685595</v>
      </c>
      <c r="O242" s="35" t="n">
        <f aca="false">IF(OR(C242="",C241="",C241=0),"",C242/C241-1)</f>
        <v>0.0116810244933294</v>
      </c>
      <c r="P242" s="35" t="n">
        <f aca="false">IF(OR(D242="",D241="",D241=0),"",D242/D241-1)</f>
        <v>0.0193869364941788</v>
      </c>
      <c r="Q242" s="35" t="n">
        <f aca="false">IF(OR(E242="",E241="",E241=0),"",E242/E241-1)</f>
        <v>0.00968116313453371</v>
      </c>
      <c r="R242" s="35" t="n">
        <f aca="false">IF(OR(F242="",F241="",F241=0),"",F242/F241-1)</f>
        <v>0.00846527794877883</v>
      </c>
      <c r="S242" s="35" t="n">
        <f aca="false">IF(OR(G242="",G241="",G241=0),"",G242/G241-1)</f>
        <v>-0.0105813874043098</v>
      </c>
      <c r="T242" s="35" t="n">
        <f aca="false">IF(OR(H242="",H241="",H241=0),"",H242/H241-1)</f>
        <v>0.00600600600600609</v>
      </c>
      <c r="U242" s="35" t="n">
        <f aca="false">IF(OR(I242="",I241="",I241=0),"",I242/I241-1)</f>
        <v>0.0073407126408529</v>
      </c>
      <c r="V242" s="35" t="n">
        <f aca="false">IF(OR(J242="",J241="",J241=0),"",J242/J241-1)</f>
        <v>-0.00267827248889752</v>
      </c>
    </row>
    <row r="243" customFormat="false" ht="15" hidden="false" customHeight="false" outlineLevel="0" collapsed="false">
      <c r="A243" s="33" t="n">
        <v>46231</v>
      </c>
      <c r="B243" s="34" t="n">
        <v>740.859985351563</v>
      </c>
      <c r="C243" s="34" t="n">
        <v>340.079986572266</v>
      </c>
      <c r="D243" s="34" t="n">
        <v>393.350006103516</v>
      </c>
      <c r="E243" s="34" t="n">
        <v>266.730010986328</v>
      </c>
      <c r="F243" s="34" t="n">
        <v>357.309997558594</v>
      </c>
      <c r="G243" s="34" t="n">
        <v>89.2799987792969</v>
      </c>
      <c r="H243" s="34" t="n">
        <v>84.2399978637695</v>
      </c>
      <c r="I243" s="34" t="n">
        <v>369.369995117188</v>
      </c>
      <c r="J243" s="34" t="n">
        <v>100.949996948242</v>
      </c>
      <c r="L243" s="35" t="n">
        <f aca="false">IF(COUNT(N243:V243)&lt;9,"",SUMPRODUCT($B$12:$J$12,N243:V243))</f>
        <v>0.0036611628367369</v>
      </c>
      <c r="N243" s="35" t="n">
        <f aca="false">IF(OR(B243="",B242="",B242=0),"",B243/B242-1)</f>
        <v>0.00239478065158649</v>
      </c>
      <c r="O243" s="35" t="n">
        <f aca="false">IF(OR(C243="",C242="",C242=0),"",C243/C242-1)</f>
        <v>0.00940899016265551</v>
      </c>
      <c r="P243" s="35" t="n">
        <f aca="false">IF(OR(D243="",D242="",D242=0),"",D243/D242-1)</f>
        <v>0.0109226418230108</v>
      </c>
      <c r="Q243" s="35" t="n">
        <f aca="false">IF(OR(E243="",E242="",E242=0),"",E243/E242-1)</f>
        <v>0.00293287739610926</v>
      </c>
      <c r="R243" s="35" t="n">
        <f aca="false">IF(OR(F243="",F242="",F242=0),"",F243/F242-1)</f>
        <v>0.00311618560787075</v>
      </c>
      <c r="S243" s="35" t="n">
        <f aca="false">IF(OR(G243="",G242="",G242=0),"",G243/G242-1)</f>
        <v>0.00506582167022862</v>
      </c>
      <c r="T243" s="35" t="n">
        <f aca="false">IF(OR(H243="",H242="",H242=0),"",H243/H242-1)</f>
        <v>0.0058507207614269</v>
      </c>
      <c r="U243" s="35" t="n">
        <f aca="false">IF(OR(I243="",I242="",I242=0),"",I243/I242-1)</f>
        <v>-0.0140405458640996</v>
      </c>
      <c r="V243" s="35" t="n">
        <f aca="false">IF(OR(J243="",J242="",J242=0),"",J243/J242-1)</f>
        <v>0.00407793941696366</v>
      </c>
    </row>
    <row r="244" customFormat="false" ht="15" hidden="false" customHeight="false" outlineLevel="0" collapsed="false">
      <c r="A244" s="33" t="n">
        <v>46232</v>
      </c>
      <c r="B244" s="34" t="n">
        <v>729.460021972656</v>
      </c>
      <c r="C244" s="34" t="n">
        <v>338.190002441406</v>
      </c>
      <c r="D244" s="34" t="n">
        <v>390.540008544922</v>
      </c>
      <c r="E244" s="34" t="n">
        <v>265.529998779297</v>
      </c>
      <c r="F244" s="34" t="n">
        <v>344.709991455078</v>
      </c>
      <c r="G244" s="34" t="n">
        <v>88.4599990844727</v>
      </c>
      <c r="H244" s="34" t="n">
        <v>82.8499984741211</v>
      </c>
      <c r="I244" s="34" t="n">
        <v>371.079986572266</v>
      </c>
      <c r="J244" s="34" t="n">
        <v>100.660003662109</v>
      </c>
      <c r="L244" s="35" t="n">
        <f aca="false">IF(COUNT(N244:V244)&lt;9,"",SUMPRODUCT($B$12:$J$12,N244:V244))</f>
        <v>-0.0102868057241712</v>
      </c>
      <c r="N244" s="35" t="n">
        <f aca="false">IF(OR(B244="",B243="",B243=0),"",B244/B243-1)</f>
        <v>-0.015387473482587</v>
      </c>
      <c r="O244" s="35" t="n">
        <f aca="false">IF(OR(C244="",C243="",C243=0),"",C244/C243-1)</f>
        <v>-0.0055574694350865</v>
      </c>
      <c r="P244" s="35" t="n">
        <f aca="false">IF(OR(D244="",D243="",D243=0),"",D244/D243-1)</f>
        <v>-0.00714375877715012</v>
      </c>
      <c r="Q244" s="35" t="n">
        <f aca="false">IF(OR(E244="",E243="",E243=0),"",E244/E243-1)</f>
        <v>-0.00449897708395675</v>
      </c>
      <c r="R244" s="35" t="n">
        <f aca="false">IF(OR(F244="",F243="",F243=0),"",F244/F243-1)</f>
        <v>-0.0352635140063489</v>
      </c>
      <c r="S244" s="35" t="n">
        <f aca="false">IF(OR(G244="",G243="",G243=0),"",G244/G243-1)</f>
        <v>-0.0091845845210109</v>
      </c>
      <c r="T244" s="35" t="n">
        <f aca="false">IF(OR(H244="",H243="",H243=0),"",H244/H243-1)</f>
        <v>-0.016500468006852</v>
      </c>
      <c r="U244" s="35" t="n">
        <f aca="false">IF(OR(I244="",I243="",I243=0),"",I244/I243-1)</f>
        <v>0.00462948121851503</v>
      </c>
      <c r="V244" s="35" t="n">
        <f aca="false">IF(OR(J244="",J243="",J243=0),"",J244/J243-1)</f>
        <v>-0.00287264284199706</v>
      </c>
    </row>
    <row r="245" customFormat="false" ht="15" hidden="false" customHeight="false" outlineLevel="0" collapsed="false">
      <c r="A245" s="33" t="n">
        <v>46233</v>
      </c>
      <c r="B245" s="34" t="n">
        <v>741.690002441406</v>
      </c>
      <c r="C245" s="34" t="n">
        <v>333.429992675781</v>
      </c>
      <c r="D245" s="34" t="n">
        <v>451.100006103516</v>
      </c>
      <c r="E245" s="34" t="n">
        <v>255.820007324219</v>
      </c>
      <c r="F245" s="34" t="n">
        <v>350.850006103516</v>
      </c>
      <c r="G245" s="34" t="n">
        <v>87.9300003051758</v>
      </c>
      <c r="H245" s="34" t="n">
        <v>82.8000030517578</v>
      </c>
      <c r="I245" s="34" t="n">
        <v>377.160003662109</v>
      </c>
      <c r="J245" s="34" t="n">
        <v>99.4899978637695</v>
      </c>
      <c r="L245" s="35" t="n">
        <f aca="false">IF(COUNT(N245:V245)&lt;9,"",SUMPRODUCT($B$12:$J$12,N245:V245))</f>
        <v>0.0187451183930796</v>
      </c>
      <c r="N245" s="35" t="n">
        <f aca="false">IF(OR(B245="",B244="",B244=0),"",B245/B244-1)</f>
        <v>0.016765799496012</v>
      </c>
      <c r="O245" s="35" t="n">
        <f aca="false">IF(OR(C245="",C244="",C244=0),"",C245/C244-1)</f>
        <v>-0.0140749570692874</v>
      </c>
      <c r="P245" s="35" t="n">
        <f aca="false">IF(OR(D245="",D244="",D244=0),"",D245/D244-1)</f>
        <v>0.155067333009566</v>
      </c>
      <c r="Q245" s="35" t="n">
        <f aca="false">IF(OR(E245="",E244="",E244=0),"",E245/E244-1)</f>
        <v>-0.0365683406760707</v>
      </c>
      <c r="R245" s="35" t="n">
        <f aca="false">IF(OR(F245="",F244="",F244=0),"",F245/F244-1)</f>
        <v>0.0178121168537064</v>
      </c>
      <c r="S245" s="35" t="n">
        <f aca="false">IF(OR(G245="",G244="",G244=0),"",G245/G244-1)</f>
        <v>-0.00599139480875188</v>
      </c>
      <c r="T245" s="35" t="n">
        <f aca="false">IF(OR(H245="",H244="",H244=0),"",H245/H244-1)</f>
        <v>-0.000603445060761376</v>
      </c>
      <c r="U245" s="35" t="n">
        <f aca="false">IF(OR(I245="",I244="",I244=0),"",I245/I244-1)</f>
        <v>0.0163846537400338</v>
      </c>
      <c r="V245" s="35" t="n">
        <f aca="false">IF(OR(J245="",J244="",J244=0),"",J245/J244-1)</f>
        <v>-0.0116233434906969</v>
      </c>
    </row>
    <row r="246" customFormat="false" ht="15" hidden="false" customHeight="false" outlineLevel="0" collapsed="false">
      <c r="A246" s="33" t="n">
        <v>46234</v>
      </c>
      <c r="B246" s="34" t="n">
        <v>747.030029296875</v>
      </c>
      <c r="C246" s="34" t="n">
        <v>308.910003662109</v>
      </c>
      <c r="D246" s="34" t="n">
        <v>464.720001220703</v>
      </c>
      <c r="E246" s="34" t="n">
        <v>256.350006103516</v>
      </c>
      <c r="F246" s="34" t="n">
        <v>351.790008544922</v>
      </c>
      <c r="G246" s="34" t="n">
        <v>86.9199981689453</v>
      </c>
      <c r="H246" s="34" t="n">
        <v>82.25</v>
      </c>
      <c r="I246" s="34" t="n">
        <v>371.540008544922</v>
      </c>
      <c r="J246" s="34" t="n">
        <v>98.9499969482422</v>
      </c>
      <c r="L246" s="35" t="n">
        <f aca="false">IF(COUNT(N246:V246)&lt;9,"",SUMPRODUCT($B$12:$J$12,N246:V246))</f>
        <v>-0.00954327325740873</v>
      </c>
      <c r="N246" s="35" t="n">
        <f aca="false">IF(OR(B246="",B245="",B245=0),"",B246/B245-1)</f>
        <v>0.00719980967505474</v>
      </c>
      <c r="O246" s="35" t="n">
        <f aca="false">IF(OR(C246="",C245="",C245=0),"",C246/C245-1)</f>
        <v>-0.0735386424505449</v>
      </c>
      <c r="P246" s="35" t="n">
        <f aca="false">IF(OR(D246="",D245="",D245=0),"",D246/D245-1)</f>
        <v>0.0301928506603957</v>
      </c>
      <c r="Q246" s="35" t="n">
        <f aca="false">IF(OR(E246="",E245="",E245=0),"",E246/E245-1)</f>
        <v>0.0020717643816861</v>
      </c>
      <c r="R246" s="35" t="n">
        <f aca="false">IF(OR(F246="",F245="",F245=0),"",F246/F245-1)</f>
        <v>0.00267921455052966</v>
      </c>
      <c r="S246" s="35" t="n">
        <f aca="false">IF(OR(G246="",G245="",G245=0),"",G246/G245-1)</f>
        <v>-0.0114864338988413</v>
      </c>
      <c r="T246" s="35" t="n">
        <f aca="false">IF(OR(H246="",H245="",H245=0),"",H246/H245-1)</f>
        <v>-0.00664254868944869</v>
      </c>
      <c r="U246" s="35" t="n">
        <f aca="false">IF(OR(I246="",I245="",I245=0),"",I246/I245-1)</f>
        <v>-0.0149008247497575</v>
      </c>
      <c r="V246" s="35" t="n">
        <f aca="false">IF(OR(J246="",J245="",J245=0),"",J246/J245-1)</f>
        <v>-0.00542769049273395</v>
      </c>
    </row>
    <row r="247" customFormat="false" ht="15" hidden="false" customHeight="false" outlineLevel="0" collapsed="false">
      <c r="A247" s="33" t="n">
        <v>46237</v>
      </c>
      <c r="B247" s="34" t="n">
        <v>757.669982910156</v>
      </c>
      <c r="C247" s="34" t="n">
        <v>303.420013427734</v>
      </c>
      <c r="D247" s="34" t="n">
        <v>487.649993896484</v>
      </c>
      <c r="E247" s="34" t="n">
        <v>254.410003662109</v>
      </c>
      <c r="F247" s="34" t="n">
        <v>352.640014648438</v>
      </c>
      <c r="G247" s="34" t="n">
        <v>86.5500030517578</v>
      </c>
      <c r="H247" s="34" t="n">
        <v>82.1900024414063</v>
      </c>
      <c r="I247" s="34" t="n">
        <v>371.709991455078</v>
      </c>
      <c r="J247" s="34" t="n">
        <v>99.0699996948242</v>
      </c>
      <c r="L247" s="35" t="n">
        <f aca="false">IF(COUNT(N247:V247)&lt;9,"",SUMPRODUCT($B$12:$J$12,N247:V247))</f>
        <v>0.00535205052205989</v>
      </c>
      <c r="N247" s="35" t="n">
        <f aca="false">IF(OR(B247="",B246="",B246=0),"",B247/B246-1)</f>
        <v>0.0142430065673473</v>
      </c>
      <c r="O247" s="35" t="n">
        <f aca="false">IF(OR(C247="",C246="",C246=0),"",C247/C246-1)</f>
        <v>-0.017772134826621</v>
      </c>
      <c r="P247" s="35" t="n">
        <f aca="false">IF(OR(D247="",D246="",D246=0),"",D247/D246-1)</f>
        <v>0.0493415231011138</v>
      </c>
      <c r="Q247" s="35" t="n">
        <f aca="false">IF(OR(E247="",E246="",E246=0),"",E247/E246-1)</f>
        <v>-0.00756778777147227</v>
      </c>
      <c r="R247" s="35" t="n">
        <f aca="false">IF(OR(F247="",F246="",F246=0),"",F247/F246-1)</f>
        <v>0.002416231509905</v>
      </c>
      <c r="S247" s="35" t="n">
        <f aca="false">IF(OR(G247="",G246="",G246=0),"",G247/G246-1)</f>
        <v>-0.00425673176463193</v>
      </c>
      <c r="T247" s="35" t="n">
        <f aca="false">IF(OR(H247="",H246="",H246=0),"",H247/H246-1)</f>
        <v>-0.000729453599923269</v>
      </c>
      <c r="U247" s="35" t="n">
        <f aca="false">IF(OR(I247="",I246="",I246=0),"",I247/I246-1)</f>
        <v>0.000457509033338743</v>
      </c>
      <c r="V247" s="35" t="n">
        <f aca="false">IF(OR(J247="",J246="",J246=0),"",J247/J246-1)</f>
        <v>0.00121276149856553</v>
      </c>
    </row>
    <row r="248" customFormat="false" ht="15" hidden="false" customHeight="false" outlineLevel="0" collapsed="false">
      <c r="A248" s="33" t="n">
        <v>46238</v>
      </c>
      <c r="B248" s="34" t="n">
        <v>771.330017089844</v>
      </c>
      <c r="C248" s="34" t="n">
        <v>309.380004882813</v>
      </c>
      <c r="D248" s="34" t="n">
        <v>492.809997558594</v>
      </c>
      <c r="E248" s="34" t="n">
        <v>254.929992675781</v>
      </c>
      <c r="F248" s="34" t="n">
        <v>357.519989013672</v>
      </c>
      <c r="G248" s="34" t="n">
        <v>87.1999969482422</v>
      </c>
      <c r="H248" s="34" t="n">
        <v>82.8199996948242</v>
      </c>
      <c r="I248" s="34" t="n">
        <v>374.160003662109</v>
      </c>
      <c r="J248" s="34" t="n">
        <v>98.9199981689453</v>
      </c>
      <c r="L248" s="35" t="n">
        <f aca="false">IF(COUNT(N248:V248)&lt;9,"",SUMPRODUCT($B$12:$J$12,N248:V248))</f>
        <v>0.0111984308300531</v>
      </c>
      <c r="N248" s="35" t="n">
        <f aca="false">IF(OR(B248="",B247="",B247=0),"",B248/B247-1)</f>
        <v>0.0180290027159591</v>
      </c>
      <c r="O248" s="35" t="n">
        <f aca="false">IF(OR(C248="",C247="",C247=0),"",C248/C247-1)</f>
        <v>0.0196427104057806</v>
      </c>
      <c r="P248" s="35" t="n">
        <f aca="false">IF(OR(D248="",D247="",D247=0),"",D248/D247-1)</f>
        <v>0.0105813672238153</v>
      </c>
      <c r="Q248" s="35" t="n">
        <f aca="false">IF(OR(E248="",E247="",E247=0),"",E248/E247-1)</f>
        <v>0.00204390160051493</v>
      </c>
      <c r="R248" s="35" t="n">
        <f aca="false">IF(OR(F248="",F247="",F247=0),"",F248/F247-1)</f>
        <v>0.013838402230385</v>
      </c>
      <c r="S248" s="35" t="n">
        <f aca="false">IF(OR(G248="",G247="",G247=0),"",G248/G247-1)</f>
        <v>0.00751003897822744</v>
      </c>
      <c r="T248" s="35" t="n">
        <f aca="false">IF(OR(H248="",H247="",H247=0),"",H248/H247-1)</f>
        <v>0.00766513243343714</v>
      </c>
      <c r="U248" s="35" t="n">
        <f aca="false">IF(OR(I248="",I247="",I247=0),"",I248/I247-1)</f>
        <v>0.00659119276681341</v>
      </c>
      <c r="V248" s="35" t="n">
        <f aca="false">IF(OR(J248="",J247="",J247=0),"",J248/J247-1)</f>
        <v>-0.00151409635955357</v>
      </c>
    </row>
    <row r="249" customFormat="false" ht="15" hidden="false" customHeight="false" outlineLevel="0" collapsed="false">
      <c r="A249" s="33" t="n">
        <v>46239</v>
      </c>
      <c r="B249" s="34" t="n">
        <v>769.789978027344</v>
      </c>
      <c r="C249" s="34" t="n">
        <v>311</v>
      </c>
      <c r="D249" s="34" t="n">
        <v>487.459991455078</v>
      </c>
      <c r="E249" s="34" t="n">
        <v>257.589996337891</v>
      </c>
      <c r="F249" s="34" t="n">
        <v>359.239990234375</v>
      </c>
      <c r="G249" s="34" t="n">
        <v>85.9100036621094</v>
      </c>
      <c r="H249" s="34" t="n">
        <v>83</v>
      </c>
      <c r="I249" s="34" t="n">
        <v>389.640014648438</v>
      </c>
      <c r="J249" s="34" t="n">
        <v>98.9199981689453</v>
      </c>
      <c r="L249" s="35" t="n">
        <f aca="false">IF(COUNT(N249:V249)&lt;9,"",SUMPRODUCT($B$12:$J$12,N249:V249))</f>
        <v>0.00445882904062417</v>
      </c>
      <c r="N249" s="35" t="n">
        <f aca="false">IF(OR(B249="",B248="",B248=0),"",B249/B248-1)</f>
        <v>-0.00199660201000662</v>
      </c>
      <c r="O249" s="35" t="n">
        <f aca="false">IF(OR(C249="",C248="",C248=0),"",C249/C248-1)</f>
        <v>0.00523626314441561</v>
      </c>
      <c r="P249" s="35" t="n">
        <f aca="false">IF(OR(D249="",D248="",D248=0),"",D249/D248-1)</f>
        <v>-0.0108561233132853</v>
      </c>
      <c r="Q249" s="35" t="n">
        <f aca="false">IF(OR(E249="",E248="",E248=0),"",E249/E248-1)</f>
        <v>0.0104342515142697</v>
      </c>
      <c r="R249" s="35" t="n">
        <f aca="false">IF(OR(F249="",F248="",F248=0),"",F249/F248-1)</f>
        <v>0.00481092323102872</v>
      </c>
      <c r="S249" s="35" t="n">
        <f aca="false">IF(OR(G249="",G248="",G248=0),"",G249/G248-1)</f>
        <v>-0.0147935015054929</v>
      </c>
      <c r="T249" s="35" t="n">
        <f aca="false">IF(OR(H249="",H248="",H248=0),"",H249/H248-1)</f>
        <v>0.00217339176333087</v>
      </c>
      <c r="U249" s="35" t="n">
        <f aca="false">IF(OR(I249="",I248="",I248=0),"",I249/I248-1)</f>
        <v>0.0413727037492455</v>
      </c>
      <c r="V249" s="35" t="n">
        <f aca="false">IF(OR(J249="",J248="",J248=0),"",J249/J248-1)</f>
        <v>0</v>
      </c>
    </row>
    <row r="250" customFormat="false" ht="15" hidden="false" customHeight="false" outlineLevel="0" collapsed="false">
      <c r="A250" s="33" t="n">
        <v>46240</v>
      </c>
      <c r="B250" s="34" t="n">
        <v>768.559997558594</v>
      </c>
      <c r="C250" s="34" t="n">
        <v>312.410003662109</v>
      </c>
      <c r="D250" s="34" t="n">
        <v>499.859985351563</v>
      </c>
      <c r="E250" s="34" t="n">
        <v>256.980010986328</v>
      </c>
      <c r="F250" s="34" t="n">
        <v>356.299987792969</v>
      </c>
      <c r="G250" s="34" t="n">
        <v>84.5999984741211</v>
      </c>
      <c r="H250" s="34" t="n">
        <v>82.5199966430664</v>
      </c>
      <c r="I250" s="34" t="n">
        <v>389.670013427734</v>
      </c>
      <c r="J250" s="34" t="n">
        <v>98.0400009155273</v>
      </c>
      <c r="L250" s="35" t="n">
        <f aca="false">IF(COUNT(N250:V250)&lt;9,"",SUMPRODUCT($B$12:$J$12,N250:V250))</f>
        <v>0.000770229502622553</v>
      </c>
      <c r="N250" s="35" t="n">
        <f aca="false">IF(OR(B250="",B249="",B249=0),"",B250/B249-1)</f>
        <v>-0.00159781304493201</v>
      </c>
      <c r="O250" s="35" t="n">
        <f aca="false">IF(OR(C250="",C249="",C249=0),"",C250/C249-1)</f>
        <v>0.0045337738331479</v>
      </c>
      <c r="P250" s="35" t="n">
        <f aca="false">IF(OR(D250="",D249="",D249=0),"",D250/D249-1)</f>
        <v>0.0254379725800076</v>
      </c>
      <c r="Q250" s="35" t="n">
        <f aca="false">IF(OR(E250="",E249="",E249=0),"",E250/E249-1)</f>
        <v>-0.00236804751828512</v>
      </c>
      <c r="R250" s="35" t="n">
        <f aca="false">IF(OR(F250="",F249="",F249=0),"",F250/F249-1)</f>
        <v>-0.00818395090003177</v>
      </c>
      <c r="S250" s="35" t="n">
        <f aca="false">IF(OR(G250="",G249="",G249=0),"",G250/G249-1)</f>
        <v>-0.0152485756273584</v>
      </c>
      <c r="T250" s="35" t="n">
        <f aca="false">IF(OR(H250="",H249="",H249=0),"",H250/H249-1)</f>
        <v>-0.00578317297510356</v>
      </c>
      <c r="U250" s="35" t="n">
        <f aca="false">IF(OR(I250="",I249="",I249=0),"",I250/I249-1)</f>
        <v>7.6991012647909E-005</v>
      </c>
      <c r="V250" s="35" t="n">
        <f aca="false">IF(OR(J250="",J249="",J249=0),"",J250/J249-1)</f>
        <v>-0.00889605003747629</v>
      </c>
    </row>
    <row r="251" customFormat="false" ht="15" hidden="false" customHeight="false" outlineLevel="0" collapsed="false">
      <c r="A251" s="33" t="n">
        <v>46241</v>
      </c>
      <c r="B251" s="34" t="n">
        <v>773.260009765625</v>
      </c>
      <c r="C251" s="34" t="n">
        <v>313.329986572266</v>
      </c>
      <c r="D251" s="34" t="n">
        <v>499.989990234375</v>
      </c>
      <c r="E251" s="34" t="n">
        <v>259.239990234375</v>
      </c>
      <c r="F251" s="34" t="n">
        <v>357.519989013672</v>
      </c>
      <c r="G251" s="34" t="n">
        <v>84.6500015258789</v>
      </c>
      <c r="H251" s="34" t="n">
        <v>82.7600021362305</v>
      </c>
      <c r="I251" s="34" t="n">
        <v>398.470001220703</v>
      </c>
      <c r="J251" s="34" t="n">
        <v>98.4300003051758</v>
      </c>
      <c r="L251" s="35" t="n">
        <f aca="false">IF(COUNT(N251:V251)&lt;9,"",SUMPRODUCT($B$12:$J$12,N251:V251))</f>
        <v>0.00585293016413456</v>
      </c>
      <c r="N251" s="35" t="n">
        <f aca="false">IF(OR(B251="",B250="",B250=0),"",B251/B250-1)</f>
        <v>0.00611534847241724</v>
      </c>
      <c r="O251" s="35" t="n">
        <f aca="false">IF(OR(C251="",C250="",C250=0),"",C251/C250-1)</f>
        <v>0.0029447933784863</v>
      </c>
      <c r="P251" s="35" t="n">
        <f aca="false">IF(OR(D251="",D250="",D250=0),"",D251/D250-1)</f>
        <v>0.000260082596370559</v>
      </c>
      <c r="Q251" s="35" t="n">
        <f aca="false">IF(OR(E251="",E250="",E250=0),"",E251/E250-1)</f>
        <v>0.00879437758358259</v>
      </c>
      <c r="R251" s="35" t="n">
        <f aca="false">IF(OR(F251="",F250="",F250=0),"",F251/F250-1)</f>
        <v>0.00342408437412556</v>
      </c>
      <c r="S251" s="35" t="n">
        <f aca="false">IF(OR(G251="",G250="",G250=0),"",G251/G250-1)</f>
        <v>0.000591052631911282</v>
      </c>
      <c r="T251" s="35" t="n">
        <f aca="false">IF(OR(H251="",H250="",H250=0),"",H251/H250-1)</f>
        <v>0.00290845253184169</v>
      </c>
      <c r="U251" s="35" t="n">
        <f aca="false">IF(OR(I251="",I250="",I250=0),"",I251/I250-1)</f>
        <v>0.0225831793305313</v>
      </c>
      <c r="V251" s="35" t="n">
        <f aca="false">IF(OR(J251="",J250="",J250=0),"",J251/J250-1)</f>
        <v>0.00397796191357158</v>
      </c>
    </row>
    <row r="252" customFormat="false" ht="15" hidden="false" customHeight="false" outlineLevel="0" collapsed="false">
      <c r="A252" s="33" t="n">
        <v>46244</v>
      </c>
      <c r="B252" s="34" t="n">
        <v>773.030029296875</v>
      </c>
      <c r="C252" s="34" t="n">
        <v>308.260009765625</v>
      </c>
      <c r="D252" s="34" t="n">
        <v>506.059997558594</v>
      </c>
      <c r="E252" s="34" t="n">
        <v>261.809997558594</v>
      </c>
      <c r="F252" s="34" t="n">
        <v>359.790008544922</v>
      </c>
      <c r="G252" s="34" t="n">
        <v>84.6999969482422</v>
      </c>
      <c r="H252" s="34" t="n">
        <v>82.0599975585938</v>
      </c>
      <c r="I252" s="34" t="n">
        <v>402.540008544922</v>
      </c>
      <c r="J252" s="34" t="n">
        <v>97.1100006103516</v>
      </c>
      <c r="L252" s="35" t="n">
        <f aca="false">IF(COUNT(N252:V252)&lt;9,"",SUMPRODUCT($B$12:$J$12,N252:V252))</f>
        <v>-0.00037118683542519</v>
      </c>
      <c r="N252" s="35" t="n">
        <f aca="false">IF(OR(B252="",B251="",B251=0),"",B252/B251-1)</f>
        <v>-0.000297416736732226</v>
      </c>
      <c r="O252" s="35" t="n">
        <f aca="false">IF(OR(C252="",C251="",C251=0),"",C252/C251-1)</f>
        <v>-0.016180949873662</v>
      </c>
      <c r="P252" s="35" t="n">
        <f aca="false">IF(OR(D252="",D251="",D251=0),"",D252/D251-1)</f>
        <v>0.0121402576907061</v>
      </c>
      <c r="Q252" s="35" t="n">
        <f aca="false">IF(OR(E252="",E251="",E251=0),"",E252/E251-1)</f>
        <v>0.00991362220734326</v>
      </c>
      <c r="R252" s="35" t="n">
        <f aca="false">IF(OR(F252="",F251="",F251=0),"",F252/F251-1)</f>
        <v>0.0063493499692493</v>
      </c>
      <c r="S252" s="35" t="n">
        <f aca="false">IF(OR(G252="",G251="",G251=0),"",G252/G251-1)</f>
        <v>0.000590613366356685</v>
      </c>
      <c r="T252" s="35" t="n">
        <f aca="false">IF(OR(H252="",H251="",H251=0),"",H252/H251-1)</f>
        <v>-0.00845824745732149</v>
      </c>
      <c r="U252" s="35" t="n">
        <f aca="false">IF(OR(I252="",I251="",I251=0),"",I252/I251-1)</f>
        <v>0.0102140871627741</v>
      </c>
      <c r="V252" s="35" t="n">
        <f aca="false">IF(OR(J252="",J251="",J251=0),"",J252/J251-1)</f>
        <v>-0.0134105424233629</v>
      </c>
    </row>
    <row r="253" customFormat="false" ht="15" hidden="false" customHeight="false" outlineLevel="0" collapsed="false">
      <c r="A253" s="33" t="n">
        <v>46245</v>
      </c>
      <c r="B253" s="34" t="n">
        <v>770.559997558594</v>
      </c>
      <c r="C253" s="34" t="n">
        <v>304.910003662109</v>
      </c>
      <c r="D253" s="34" t="n">
        <v>503.809997558594</v>
      </c>
      <c r="E253" s="34" t="n">
        <v>259.799987792969</v>
      </c>
      <c r="F253" s="34" t="n">
        <v>362.040008544922</v>
      </c>
      <c r="G253" s="34" t="n">
        <v>85.7399978637695</v>
      </c>
      <c r="H253" s="34" t="n">
        <v>82.1900024414063</v>
      </c>
      <c r="I253" s="34" t="n">
        <v>400.959991455078</v>
      </c>
      <c r="J253" s="34" t="n">
        <v>96.379997253418</v>
      </c>
      <c r="L253" s="35" t="n">
        <f aca="false">IF(COUNT(N253:V253)&lt;9,"",SUMPRODUCT($B$12:$J$12,N253:V253))</f>
        <v>-0.00347340714792919</v>
      </c>
      <c r="N253" s="35" t="n">
        <f aca="false">IF(OR(B253="",B252="",B252=0),"",B253/B252-1)</f>
        <v>-0.00319525975016477</v>
      </c>
      <c r="O253" s="35" t="n">
        <f aca="false">IF(OR(C253="",C252="",C252=0),"",C253/C252-1)</f>
        <v>-0.0108674690111866</v>
      </c>
      <c r="P253" s="35" t="n">
        <f aca="false">IF(OR(D253="",D252="",D252=0),"",D253/D252-1)</f>
        <v>-0.00444611313056709</v>
      </c>
      <c r="Q253" s="35" t="n">
        <f aca="false">IF(OR(E253="",E252="",E252=0),"",E253/E252-1)</f>
        <v>-0.00767736062170488</v>
      </c>
      <c r="R253" s="35" t="n">
        <f aca="false">IF(OR(F253="",F252="",F252=0),"",F253/F252-1)</f>
        <v>0.00625364781278814</v>
      </c>
      <c r="S253" s="35" t="n">
        <f aca="false">IF(OR(G253="",G252="",G252=0),"",G253/G252-1)</f>
        <v>0.0122786417119096</v>
      </c>
      <c r="T253" s="35" t="n">
        <f aca="false">IF(OR(H253="",H252="",H252=0),"",H253/H252-1)</f>
        <v>0.00158426622812979</v>
      </c>
      <c r="U253" s="35" t="n">
        <f aca="false">IF(OR(I253="",I252="",I252=0),"",I253/I252-1)</f>
        <v>-0.00392511814056773</v>
      </c>
      <c r="V253" s="35" t="n">
        <f aca="false">IF(OR(J253="",J252="",J252=0),"",J253/J252-1)</f>
        <v>-0.00751728300221832</v>
      </c>
    </row>
    <row r="254" customFormat="false" ht="15" hidden="false" customHeight="false" outlineLevel="0" collapsed="false">
      <c r="A254" s="33" t="n">
        <v>46246</v>
      </c>
      <c r="B254" s="34" t="n">
        <v>772.489990234375</v>
      </c>
      <c r="C254" s="34" t="n">
        <v>302.25</v>
      </c>
      <c r="D254" s="34" t="n">
        <v>492.429992675781</v>
      </c>
      <c r="E254" s="34" t="n">
        <v>260.859985351563</v>
      </c>
      <c r="F254" s="34" t="n">
        <v>365.179992675781</v>
      </c>
      <c r="G254" s="34" t="n">
        <v>85.7799987792969</v>
      </c>
      <c r="H254" s="34" t="n">
        <v>82.1100006103516</v>
      </c>
      <c r="I254" s="34" t="n">
        <v>404.920013427734</v>
      </c>
      <c r="J254" s="34" t="n">
        <v>97.3099975585938</v>
      </c>
      <c r="L254" s="35" t="n">
        <f aca="false">IF(COUNT(N254:V254)&lt;9,"",SUMPRODUCT($B$12:$J$12,N254:V254))</f>
        <v>-0.000955748248069067</v>
      </c>
      <c r="N254" s="35" t="n">
        <f aca="false">IF(OR(B254="",B253="",B253=0),"",B254/B253-1)</f>
        <v>0.00250466242978598</v>
      </c>
      <c r="O254" s="35" t="n">
        <f aca="false">IF(OR(C254="",C253="",C253=0),"",C254/C253-1)</f>
        <v>-0.00872389764245551</v>
      </c>
      <c r="P254" s="35" t="n">
        <f aca="false">IF(OR(D254="",D253="",D253=0),"",D254/D253-1)</f>
        <v>-0.0225878901529528</v>
      </c>
      <c r="Q254" s="35" t="n">
        <f aca="false">IF(OR(E254="",E253="",E253=0),"",E254/E253-1)</f>
        <v>0.00408005238028997</v>
      </c>
      <c r="R254" s="35" t="n">
        <f aca="false">IF(OR(F254="",F253="",F253=0),"",F254/F253-1)</f>
        <v>0.00867303076110004</v>
      </c>
      <c r="S254" s="35" t="n">
        <f aca="false">IF(OR(G254="",G253="",G253=0),"",G254/G253-1)</f>
        <v>0.000466537398227551</v>
      </c>
      <c r="T254" s="35" t="n">
        <f aca="false">IF(OR(H254="",H253="",H253=0),"",H254/H253-1)</f>
        <v>-0.000973376672080417</v>
      </c>
      <c r="U254" s="35" t="n">
        <f aca="false">IF(OR(I254="",I253="",I253=0),"",I254/I253-1)</f>
        <v>0.00987635189806624</v>
      </c>
      <c r="V254" s="35" t="n">
        <f aca="false">IF(OR(J254="",J253="",J253=0),"",J254/J253-1)</f>
        <v>0.00964930827638955</v>
      </c>
    </row>
    <row r="255" customFormat="false" ht="15" hidden="false" customHeight="false" outlineLevel="0" collapsed="false">
      <c r="A255" s="33" t="n">
        <v>46247</v>
      </c>
      <c r="B255" s="34" t="n">
        <v>777.880004882813</v>
      </c>
      <c r="C255" s="34" t="n">
        <v>305.260009765625</v>
      </c>
      <c r="D255" s="34" t="n">
        <v>496.880004882813</v>
      </c>
      <c r="E255" s="34" t="n">
        <v>262.079986572266</v>
      </c>
      <c r="F255" s="34" t="n">
        <v>363.109985351563</v>
      </c>
      <c r="G255" s="34" t="n">
        <v>86.0100021362305</v>
      </c>
      <c r="H255" s="34" t="n">
        <v>82.5899963378906</v>
      </c>
      <c r="I255" s="34" t="n">
        <v>398.959991455078</v>
      </c>
      <c r="J255" s="34" t="n">
        <v>98.5800018310547</v>
      </c>
      <c r="L255" s="35" t="n">
        <f aca="false">IF(COUNT(N255:V255)&lt;9,"",SUMPRODUCT($B$12:$J$12,N255:V255))</f>
        <v>0.00427536109520817</v>
      </c>
      <c r="N255" s="35" t="n">
        <f aca="false">IF(OR(B255="",B254="",B254=0),"",B255/B254-1)</f>
        <v>0.00697745565195307</v>
      </c>
      <c r="O255" s="35" t="n">
        <f aca="false">IF(OR(C255="",C254="",C254=0),"",C255/C254-1)</f>
        <v>0.00995867581679066</v>
      </c>
      <c r="P255" s="35" t="n">
        <f aca="false">IF(OR(D255="",D254="",D254=0),"",D255/D254-1)</f>
        <v>0.00903684233945912</v>
      </c>
      <c r="Q255" s="35" t="n">
        <f aca="false">IF(OR(E255="",E254="",E254=0),"",E255/E254-1)</f>
        <v>0.00467684309289074</v>
      </c>
      <c r="R255" s="35" t="n">
        <f aca="false">IF(OR(F255="",F254="",F254=0),"",F255/F254-1)</f>
        <v>-0.00566845765303425</v>
      </c>
      <c r="S255" s="35" t="n">
        <f aca="false">IF(OR(G255="",G254="",G254=0),"",G255/G254-1)</f>
        <v>0.00268131685948569</v>
      </c>
      <c r="T255" s="35" t="n">
        <f aca="false">IF(OR(H255="",H254="",H254=0),"",H255/H254-1)</f>
        <v>0.00584576451066887</v>
      </c>
      <c r="U255" s="35" t="n">
        <f aca="false">IF(OR(I255="",I254="",I254=0),"",I255/I254-1)</f>
        <v>-0.0147190106070656</v>
      </c>
      <c r="V255" s="35" t="n">
        <f aca="false">IF(OR(J255="",J254="",J254=0),"",J255/J254-1)</f>
        <v>0.0130511181206863</v>
      </c>
    </row>
    <row r="256" customFormat="false" ht="15" hidden="false" customHeight="false" outlineLevel="0" collapsed="false">
      <c r="A256" s="33" t="n">
        <v>46248</v>
      </c>
      <c r="B256" s="34" t="n">
        <v>776.340026855469</v>
      </c>
      <c r="C256" s="34" t="n">
        <v>305.929992675781</v>
      </c>
      <c r="D256" s="34" t="n">
        <v>495.399993896484</v>
      </c>
      <c r="E256" s="34" t="n">
        <v>260.350006103516</v>
      </c>
      <c r="F256" s="34" t="n">
        <v>362.839996337891</v>
      </c>
      <c r="G256" s="34" t="n">
        <v>86.1900024414063</v>
      </c>
      <c r="H256" s="34" t="n">
        <v>82.0400009155273</v>
      </c>
      <c r="I256" s="34" t="n">
        <v>401.480010986328</v>
      </c>
      <c r="J256" s="34" t="n">
        <v>98.8300018310547</v>
      </c>
      <c r="L256" s="35" t="n">
        <f aca="false">IF(COUNT(N256:V256)&lt;9,"",SUMPRODUCT($B$12:$J$12,N256:V256))</f>
        <v>-0.000928813417472611</v>
      </c>
      <c r="N256" s="35" t="n">
        <f aca="false">IF(OR(B256="",B255="",B255=0),"",B256/B255-1)</f>
        <v>-0.00197971154635346</v>
      </c>
      <c r="O256" s="35" t="n">
        <f aca="false">IF(OR(C256="",C255="",C255=0),"",C256/C255-1)</f>
        <v>0.00219479423678992</v>
      </c>
      <c r="P256" s="35" t="n">
        <f aca="false">IF(OR(D256="",D255="",D255=0),"",D256/D255-1)</f>
        <v>-0.0029786084603628</v>
      </c>
      <c r="Q256" s="35" t="n">
        <f aca="false">IF(OR(E256="",E255="",E255=0),"",E256/E255-1)</f>
        <v>-0.00660096366523955</v>
      </c>
      <c r="R256" s="35" t="n">
        <f aca="false">IF(OR(F256="",F255="",F255=0),"",F256/F255-1)</f>
        <v>-0.000743546100530956</v>
      </c>
      <c r="S256" s="35" t="n">
        <f aca="false">IF(OR(G256="",G255="",G255=0),"",G256/G255-1)</f>
        <v>0.00209278340547781</v>
      </c>
      <c r="T256" s="35" t="n">
        <f aca="false">IF(OR(H256="",H255="",H255=0),"",H256/H255-1)</f>
        <v>-0.00665934673387281</v>
      </c>
      <c r="U256" s="35" t="n">
        <f aca="false">IF(OR(I256="",I255="",I255=0),"",I256/I255-1)</f>
        <v>0.00631647178971262</v>
      </c>
      <c r="V256" s="35" t="n">
        <f aca="false">IF(OR(J256="",J255="",J255=0),"",J256/J255-1)</f>
        <v>0.00253601131422632</v>
      </c>
    </row>
    <row r="257" customFormat="false" ht="15" hidden="false" customHeight="false" outlineLevel="0" collapsed="false">
      <c r="A257" s="33" t="n">
        <v>46251</v>
      </c>
      <c r="B257" s="34" t="n">
        <v>772.669982910156</v>
      </c>
      <c r="C257" s="34" t="n">
        <v>305.589996337891</v>
      </c>
      <c r="D257" s="34" t="n">
        <v>480.350006103516</v>
      </c>
      <c r="E257" s="34" t="n">
        <v>262.369995117188</v>
      </c>
      <c r="F257" s="34" t="n">
        <v>360.959991455078</v>
      </c>
      <c r="G257" s="34" t="n">
        <v>86.2200012207031</v>
      </c>
      <c r="H257" s="34" t="n">
        <v>81.3499984741211</v>
      </c>
      <c r="I257" s="34" t="n">
        <v>405.489990234375</v>
      </c>
      <c r="J257" s="34" t="n">
        <v>97.9800033569336</v>
      </c>
      <c r="L257" s="35" t="n">
        <f aca="false">IF(COUNT(N257:V257)&lt;9,"",SUMPRODUCT($B$12:$J$12,N257:V257))</f>
        <v>-0.00504486439968958</v>
      </c>
      <c r="N257" s="35" t="n">
        <f aca="false">IF(OR(B257="",B256="",B256=0),"",B257/B256-1)</f>
        <v>-0.00472736664136497</v>
      </c>
      <c r="O257" s="35" t="n">
        <f aca="false">IF(OR(C257="",C256="",C256=0),"",C257/C256-1)</f>
        <v>-0.00111135340120228</v>
      </c>
      <c r="P257" s="35" t="n">
        <f aca="false">IF(OR(D257="",D256="",D256=0),"",D257/D256-1)</f>
        <v>-0.0303794670536728</v>
      </c>
      <c r="Q257" s="35" t="n">
        <f aca="false">IF(OR(E257="",E256="",E256=0),"",E257/E256-1)</f>
        <v>0.00775874386908537</v>
      </c>
      <c r="R257" s="35" t="n">
        <f aca="false">IF(OR(F257="",F256="",F256=0),"",F257/F256-1)</f>
        <v>-0.00518136065976116</v>
      </c>
      <c r="S257" s="35" t="n">
        <f aca="false">IF(OR(G257="",G256="",G256=0),"",G257/G256-1)</f>
        <v>0.000348054048579183</v>
      </c>
      <c r="T257" s="35" t="n">
        <f aca="false">IF(OR(H257="",H256="",H256=0),"",H257/H256-1)</f>
        <v>-0.00841056111294625</v>
      </c>
      <c r="U257" s="35" t="n">
        <f aca="false">IF(OR(I257="",I256="",I256=0),"",I257/I256-1)</f>
        <v>0.00998799227437397</v>
      </c>
      <c r="V257" s="35" t="n">
        <f aca="false">IF(OR(J257="",J256="",J256=0),"",J257/J256-1)</f>
        <v>-0.00860061174110005</v>
      </c>
    </row>
    <row r="258" customFormat="false" ht="15" hidden="false" customHeight="false" outlineLevel="0" collapsed="false">
      <c r="A258" s="33" t="n">
        <v>46252</v>
      </c>
      <c r="B258" s="34" t="n">
        <v>767.450012207031</v>
      </c>
      <c r="C258" s="34" t="n">
        <v>310.029998779297</v>
      </c>
      <c r="D258" s="34" t="n">
        <v>481.630004882813</v>
      </c>
      <c r="E258" s="34" t="n">
        <v>271.109985351563</v>
      </c>
      <c r="F258" s="34" t="n">
        <v>363.25</v>
      </c>
      <c r="G258" s="34" t="n">
        <v>86.2200012207031</v>
      </c>
      <c r="H258" s="34" t="n">
        <v>81.6600036621094</v>
      </c>
      <c r="I258" s="34" t="n">
        <v>398.549987792969</v>
      </c>
      <c r="J258" s="34" t="n">
        <v>97.620002746582</v>
      </c>
      <c r="L258" s="35" t="n">
        <f aca="false">IF(COUNT(N258:V258)&lt;9,"",SUMPRODUCT($B$12:$J$12,N258:V258))</f>
        <v>0.00385637020660871</v>
      </c>
      <c r="N258" s="35" t="n">
        <f aca="false">IF(OR(B258="",B257="",B257=0),"",B258/B257-1)</f>
        <v>-0.00675575707427467</v>
      </c>
      <c r="O258" s="35" t="n">
        <f aca="false">IF(OR(C258="",C257="",C257=0),"",C258/C257-1)</f>
        <v>0.0145292794090572</v>
      </c>
      <c r="P258" s="35" t="n">
        <f aca="false">IF(OR(D258="",D257="",D257=0),"",D258/D257-1)</f>
        <v>0.00266472106387594</v>
      </c>
      <c r="Q258" s="35" t="n">
        <f aca="false">IF(OR(E258="",E257="",E257=0),"",E258/E257-1)</f>
        <v>0.0333116987347248</v>
      </c>
      <c r="R258" s="35" t="n">
        <f aca="false">IF(OR(F258="",F257="",F257=0),"",F258/F257-1)</f>
        <v>0.00634421708536359</v>
      </c>
      <c r="S258" s="35" t="n">
        <f aca="false">IF(OR(G258="",G257="",G257=0),"",G258/G257-1)</f>
        <v>0</v>
      </c>
      <c r="T258" s="35" t="n">
        <f aca="false">IF(OR(H258="",H257="",H257=0),"",H258/H257-1)</f>
        <v>0.00381075837496092</v>
      </c>
      <c r="U258" s="35" t="n">
        <f aca="false">IF(OR(I258="",I257="",I257=0),"",I258/I257-1)</f>
        <v>-0.0171151017498475</v>
      </c>
      <c r="V258" s="35" t="n">
        <f aca="false">IF(OR(J258="",J257="",J257=0),"",J258/J257-1)</f>
        <v>-0.00367422533187856</v>
      </c>
    </row>
    <row r="259" customFormat="false" ht="15" hidden="false" customHeight="false" outlineLevel="0" collapsed="false">
      <c r="A259" s="33" t="n">
        <v>46253</v>
      </c>
      <c r="B259" s="34" t="n">
        <v>769.059997558594</v>
      </c>
      <c r="C259" s="34" t="n">
        <v>316.829986572266</v>
      </c>
      <c r="D259" s="34" t="n">
        <v>484.309997558594</v>
      </c>
      <c r="E259" s="34" t="n">
        <v>273.410003662109</v>
      </c>
      <c r="F259" s="34" t="n">
        <v>357.260009765625</v>
      </c>
      <c r="G259" s="34" t="n">
        <v>85.9100036621094</v>
      </c>
      <c r="H259" s="34" t="n">
        <v>83.0199966430664</v>
      </c>
      <c r="I259" s="34" t="n">
        <v>413.839996337891</v>
      </c>
      <c r="J259" s="34" t="n">
        <v>98.6100006103516</v>
      </c>
      <c r="L259" s="35" t="n">
        <f aca="false">IF(COUNT(N259:V259)&lt;9,"",SUMPRODUCT($B$12:$J$12,N259:V259))</f>
        <v>0.0103485035289126</v>
      </c>
      <c r="N259" s="35" t="n">
        <f aca="false">IF(OR(B259="",B258="",B258=0),"",B259/B258-1)</f>
        <v>0.00209783741736214</v>
      </c>
      <c r="O259" s="35" t="n">
        <f aca="false">IF(OR(C259="",C258="",C258=0),"",C259/C258-1)</f>
        <v>0.021933322000268</v>
      </c>
      <c r="P259" s="35" t="n">
        <f aca="false">IF(OR(D259="",D258="",D258=0),"",D259/D258-1)</f>
        <v>0.00556442216766184</v>
      </c>
      <c r="Q259" s="35" t="n">
        <f aca="false">IF(OR(E259="",E258="",E258=0),"",E259/E258-1)</f>
        <v>0.00848370932396092</v>
      </c>
      <c r="R259" s="35" t="n">
        <f aca="false">IF(OR(F259="",F258="",F258=0),"",F259/F258-1)</f>
        <v>-0.0164899937629044</v>
      </c>
      <c r="S259" s="35" t="n">
        <f aca="false">IF(OR(G259="",G258="",G258=0),"",G259/G258-1)</f>
        <v>-0.00359542512415623</v>
      </c>
      <c r="T259" s="35" t="n">
        <f aca="false">IF(OR(H259="",H258="",H258=0),"",H259/H258-1)</f>
        <v>0.0166543340676832</v>
      </c>
      <c r="U259" s="35" t="n">
        <f aca="false">IF(OR(I259="",I258="",I258=0),"",I259/I258-1)</f>
        <v>0.038364092367918</v>
      </c>
      <c r="V259" s="35" t="n">
        <f aca="false">IF(OR(J259="",J258="",J258=0),"",J259/J258-1)</f>
        <v>0.0101413423060395</v>
      </c>
    </row>
    <row r="260" customFormat="false" ht="15" hidden="false" customHeight="false" outlineLevel="0" collapsed="false">
      <c r="A260" s="33" t="n">
        <v>46254</v>
      </c>
      <c r="B260" s="34" t="n">
        <v>762.599975585938</v>
      </c>
      <c r="C260" s="34" t="n">
        <v>311.299987792969</v>
      </c>
      <c r="D260" s="34" t="n">
        <v>481.149993896484</v>
      </c>
      <c r="E260" s="34" t="n">
        <v>267.369995117188</v>
      </c>
      <c r="F260" s="34" t="n">
        <v>351.549987792969</v>
      </c>
      <c r="G260" s="34" t="n">
        <v>85.0299987792969</v>
      </c>
      <c r="H260" s="34" t="n">
        <v>82.3399963378906</v>
      </c>
      <c r="I260" s="34" t="n">
        <v>415.260009765625</v>
      </c>
      <c r="J260" s="34" t="n">
        <v>98.5999984741211</v>
      </c>
      <c r="L260" s="35" t="n">
        <f aca="false">IF(COUNT(N260:V260)&lt;9,"",SUMPRODUCT($B$12:$J$12,N260:V260))</f>
        <v>-0.0100155580212277</v>
      </c>
      <c r="N260" s="35" t="n">
        <f aca="false">IF(OR(B260="",B259="",B259=0),"",B260/B259-1)</f>
        <v>-0.00839989336744018</v>
      </c>
      <c r="O260" s="35" t="n">
        <f aca="false">IF(OR(C260="",C259="",C259=0),"",C260/C259-1)</f>
        <v>-0.0174541521120688</v>
      </c>
      <c r="P260" s="35" t="n">
        <f aca="false">IF(OR(D260="",D259="",D259=0),"",D260/D259-1)</f>
        <v>-0.00652475414102449</v>
      </c>
      <c r="Q260" s="35" t="n">
        <f aca="false">IF(OR(E260="",E259="",E259=0),"",E260/E259-1)</f>
        <v>-0.0220913955744847</v>
      </c>
      <c r="R260" s="35" t="n">
        <f aca="false">IF(OR(F260="",F259="",F259=0),"",F260/F259-1)</f>
        <v>-0.0159828187218659</v>
      </c>
      <c r="S260" s="35" t="n">
        <f aca="false">IF(OR(G260="",G259="",G259=0),"",G260/G259-1)</f>
        <v>-0.0102433342486357</v>
      </c>
      <c r="T260" s="35" t="n">
        <f aca="false">IF(OR(H260="",H259="",H259=0),"",H260/H259-1)</f>
        <v>-0.00819080140534556</v>
      </c>
      <c r="U260" s="35" t="n">
        <f aca="false">IF(OR(I260="",I259="",I259=0),"",I260/I259-1)</f>
        <v>0.00343131026556121</v>
      </c>
      <c r="V260" s="35" t="n">
        <f aca="false">IF(OR(J260="",J259="",J259=0),"",J260/J259-1)</f>
        <v>-0.000101431256146478</v>
      </c>
    </row>
    <row r="261" customFormat="false" ht="15" hidden="false" customHeight="false" outlineLevel="0" collapsed="false">
      <c r="A261" s="33" t="n">
        <v>46255</v>
      </c>
      <c r="B261" s="34" t="n">
        <v>765.719970703125</v>
      </c>
      <c r="C261" s="34" t="n">
        <v>309.350006103516</v>
      </c>
      <c r="D261" s="34" t="n">
        <v>483.239990234375</v>
      </c>
      <c r="E261" s="34" t="n">
        <v>270.239990234375</v>
      </c>
      <c r="F261" s="34" t="n">
        <v>351.579986572266</v>
      </c>
      <c r="G261" s="34" t="n">
        <v>83.6500015258789</v>
      </c>
      <c r="H261" s="34" t="n">
        <v>82.0500030517578</v>
      </c>
      <c r="I261" s="34" t="n">
        <v>423.359985351563</v>
      </c>
      <c r="J261" s="34" t="n">
        <v>98.5</v>
      </c>
      <c r="L261" s="35" t="n">
        <f aca="false">IF(COUNT(N261:V261)&lt;9,"",SUMPRODUCT($B$12:$J$12,N261:V261))</f>
        <v>0.00230649318616158</v>
      </c>
      <c r="N261" s="35" t="n">
        <f aca="false">IF(OR(B261="",B260="",B260=0),"",B261/B260-1)</f>
        <v>0.00409126044724806</v>
      </c>
      <c r="O261" s="35" t="n">
        <f aca="false">IF(OR(C261="",C260="",C260=0),"",C261/C260-1)</f>
        <v>-0.00626399539324685</v>
      </c>
      <c r="P261" s="35" t="n">
        <f aca="false">IF(OR(D261="",D260="",D260=0),"",D261/D260-1)</f>
        <v>0.00434375218622707</v>
      </c>
      <c r="Q261" s="35" t="n">
        <f aca="false">IF(OR(E261="",E260="",E260=0),"",E261/E260-1)</f>
        <v>0.0107341705112762</v>
      </c>
      <c r="R261" s="35" t="n">
        <f aca="false">IF(OR(F261="",F260="",F260=0),"",F261/F260-1)</f>
        <v>8.53328981331725E-005</v>
      </c>
      <c r="S261" s="35" t="n">
        <f aca="false">IF(OR(G261="",G260="",G260=0),"",G261/G260-1)</f>
        <v>-0.0162295339671814</v>
      </c>
      <c r="T261" s="35" t="n">
        <f aca="false">IF(OR(H261="",H260="",H260=0),"",H261/H260-1)</f>
        <v>-0.00352190064404156</v>
      </c>
      <c r="U261" s="35" t="n">
        <f aca="false">IF(OR(I261="",I260="",I260=0),"",I261/I260-1)</f>
        <v>0.0195057925045796</v>
      </c>
      <c r="V261" s="35" t="n">
        <f aca="false">IF(OR(J261="",J260="",J260=0),"",J261/J260-1)</f>
        <v>-0.00101418332321113</v>
      </c>
    </row>
    <row r="262" customFormat="false" ht="15" hidden="false" customHeight="false" outlineLevel="0" collapsed="false">
      <c r="A262" s="33" t="n">
        <v>46258</v>
      </c>
      <c r="B262" s="34" t="n">
        <v>763.469970703125</v>
      </c>
      <c r="C262" s="34" t="n">
        <v>310.339996337891</v>
      </c>
      <c r="D262" s="34" t="n">
        <v>487.309997558594</v>
      </c>
      <c r="E262" s="34" t="n">
        <v>273.040008544922</v>
      </c>
      <c r="F262" s="34" t="n">
        <v>356.390014648438</v>
      </c>
      <c r="G262" s="34" t="n">
        <v>84.0999984741211</v>
      </c>
      <c r="H262" s="34" t="n">
        <v>82.5599975585938</v>
      </c>
      <c r="I262" s="34" t="n">
        <v>426.690002441406</v>
      </c>
      <c r="J262" s="34" t="n">
        <v>99.0999984741211</v>
      </c>
      <c r="L262" s="35" t="n">
        <f aca="false">IF(COUNT(N262:V262)&lt;9,"",SUMPRODUCT($B$12:$J$12,N262:V262))</f>
        <v>0.00545377354657888</v>
      </c>
      <c r="N262" s="35" t="n">
        <f aca="false">IF(OR(B262="",B261="",B261=0),"",B262/B261-1)</f>
        <v>-0.00293841101980652</v>
      </c>
      <c r="O262" s="35" t="n">
        <f aca="false">IF(OR(C262="",C261="",C261=0),"",C262/C261-1)</f>
        <v>0.00320022697540767</v>
      </c>
      <c r="P262" s="35" t="n">
        <f aca="false">IF(OR(D262="",D261="",D261=0),"",D262/D261-1)</f>
        <v>0.00842233136012816</v>
      </c>
      <c r="Q262" s="35" t="n">
        <f aca="false">IF(OR(E262="",E261="",E261=0),"",E262/E261-1)</f>
        <v>0.0103612285810053</v>
      </c>
      <c r="R262" s="35" t="n">
        <f aca="false">IF(OR(F262="",F261="",F261=0),"",F262/F261-1)</f>
        <v>0.0136811771428387</v>
      </c>
      <c r="S262" s="35" t="n">
        <f aca="false">IF(OR(G262="",G261="",G261=0),"",G262/G261-1)</f>
        <v>0.00537952110022344</v>
      </c>
      <c r="T262" s="35" t="n">
        <f aca="false">IF(OR(H262="",H261="",H261=0),"",H262/H261-1)</f>
        <v>0.0062156549404917</v>
      </c>
      <c r="U262" s="35" t="n">
        <f aca="false">IF(OR(I262="",I261="",I261=0),"",I262/I261-1)</f>
        <v>0.00786568689782463</v>
      </c>
      <c r="V262" s="35" t="n">
        <f aca="false">IF(OR(J262="",J261="",J261=0),"",J262/J261-1)</f>
        <v>0.00609135506721925</v>
      </c>
    </row>
    <row r="263" customFormat="false" ht="15" hidden="false" customHeight="false" outlineLevel="0" collapsed="false">
      <c r="A263" s="33" t="n">
        <v>46259</v>
      </c>
      <c r="B263" s="34" t="n">
        <v>765.909973144531</v>
      </c>
      <c r="C263" s="34" t="n">
        <v>309.899993896484</v>
      </c>
      <c r="D263" s="34" t="n">
        <v>491.709991455078</v>
      </c>
      <c r="E263" s="34" t="n">
        <v>273.140014648438</v>
      </c>
      <c r="F263" s="34" t="n">
        <v>356.690002441406</v>
      </c>
      <c r="G263" s="34" t="n">
        <v>84.2200012207031</v>
      </c>
      <c r="H263" s="34" t="n">
        <v>83.4700012207031</v>
      </c>
      <c r="I263" s="34" t="n">
        <v>428.070007324219</v>
      </c>
      <c r="J263" s="34" t="n">
        <v>99.25</v>
      </c>
      <c r="L263" s="35" t="n">
        <f aca="false">IF(COUNT(N263:V263)&lt;9,"",SUMPRODUCT($B$12:$J$12,N263:V263))</f>
        <v>0.00328147669617351</v>
      </c>
      <c r="N263" s="35" t="n">
        <f aca="false">IF(OR(B263="",B262="",B262=0),"",B263/B262-1)</f>
        <v>0.00319593767277948</v>
      </c>
      <c r="O263" s="35" t="n">
        <f aca="false">IF(OR(C263="",C262="",C262=0),"",C263/C262-1)</f>
        <v>-0.00141780771605082</v>
      </c>
      <c r="P263" s="35" t="n">
        <f aca="false">IF(OR(D263="",D262="",D262=0),"",D263/D262-1)</f>
        <v>0.0090291476032256</v>
      </c>
      <c r="Q263" s="35" t="n">
        <f aca="false">IF(OR(E263="",E262="",E262=0),"",E263/E262-1)</f>
        <v>0.000366269046243373</v>
      </c>
      <c r="R263" s="35" t="n">
        <f aca="false">IF(OR(F263="",F262="",F262=0),"",F263/F262-1)</f>
        <v>0.000841740174072791</v>
      </c>
      <c r="S263" s="35" t="n">
        <f aca="false">IF(OR(G263="",G262="",G262=0),"",G263/G262-1)</f>
        <v>0.00142690545492608</v>
      </c>
      <c r="T263" s="35" t="n">
        <f aca="false">IF(OR(H263="",H262="",H262=0),"",H263/H262-1)</f>
        <v>0.0110223315045939</v>
      </c>
      <c r="U263" s="35" t="n">
        <f aca="false">IF(OR(I263="",I262="",I262=0),"",I263/I262-1)</f>
        <v>0.00323420955475151</v>
      </c>
      <c r="V263" s="35" t="n">
        <f aca="false">IF(OR(J263="",J262="",J262=0),"",J263/J262-1)</f>
        <v>0.00151363802410232</v>
      </c>
    </row>
    <row r="264" customFormat="false" ht="15" hidden="false" customHeight="false" outlineLevel="0" collapsed="false">
      <c r="A264" s="33" t="n">
        <v>46260</v>
      </c>
      <c r="B264" s="34" t="n">
        <v>766.080017089844</v>
      </c>
      <c r="C264" s="34" t="n">
        <v>313.450012207031</v>
      </c>
      <c r="D264" s="34" t="n">
        <v>496.369995117188</v>
      </c>
      <c r="E264" s="34" t="n">
        <v>270</v>
      </c>
      <c r="F264" s="34" t="n">
        <v>356.5</v>
      </c>
      <c r="G264" s="34" t="n">
        <v>84.2200012207031</v>
      </c>
      <c r="H264" s="34" t="n">
        <v>83.3000030517578</v>
      </c>
      <c r="I264" s="34" t="n">
        <v>421.320007324219</v>
      </c>
      <c r="J264" s="34" t="n">
        <v>98.6100006103516</v>
      </c>
      <c r="L264" s="35" t="n">
        <f aca="false">IF(COUNT(N264:V264)&lt;9,"",SUMPRODUCT($B$12:$J$12,N264:V264))</f>
        <v>-0.000418212298091753</v>
      </c>
      <c r="N264" s="35" t="n">
        <f aca="false">IF(OR(B264="",B263="",B263=0),"",B264/B263-1)</f>
        <v>0.000222015577907797</v>
      </c>
      <c r="O264" s="35" t="n">
        <f aca="false">IF(OR(C264="",C263="",C263=0),"",C264/C263-1)</f>
        <v>0.0114553674748792</v>
      </c>
      <c r="P264" s="35" t="n">
        <f aca="false">IF(OR(D264="",D263="",D263=0),"",D264/D263-1)</f>
        <v>0.00947713844154352</v>
      </c>
      <c r="Q264" s="35" t="n">
        <f aca="false">IF(OR(E264="",E263="",E263=0),"",E264/E263-1)</f>
        <v>-0.011495989163212</v>
      </c>
      <c r="R264" s="35" t="n">
        <f aca="false">IF(OR(F264="",F263="",F263=0),"",F264/F263-1)</f>
        <v>-0.000532682273418184</v>
      </c>
      <c r="S264" s="35" t="n">
        <f aca="false">IF(OR(G264="",G263="",G263=0),"",G264/G263-1)</f>
        <v>0</v>
      </c>
      <c r="T264" s="35" t="n">
        <f aca="false">IF(OR(H264="",H263="",H263=0),"",H264/H263-1)</f>
        <v>-0.00203663791133546</v>
      </c>
      <c r="U264" s="35" t="n">
        <f aca="false">IF(OR(I264="",I263="",I263=0),"",I264/I263-1)</f>
        <v>-0.015768448815634</v>
      </c>
      <c r="V264" s="35" t="n">
        <f aca="false">IF(OR(J264="",J263="",J263=0),"",J264/J263-1)</f>
        <v>-0.0064483565707647</v>
      </c>
    </row>
    <row r="265" customFormat="false" ht="15" hidden="false" customHeight="false" outlineLevel="0" collapsed="false">
      <c r="A265" s="33" t="n">
        <v>46261</v>
      </c>
      <c r="B265" s="34" t="n">
        <v>771.099975585938</v>
      </c>
      <c r="C265" s="34" t="n">
        <v>314.579986572266</v>
      </c>
      <c r="D265" s="34" t="n">
        <v>505.059997558594</v>
      </c>
      <c r="E265" s="34" t="n">
        <v>265.769989013672</v>
      </c>
      <c r="F265" s="34" t="n">
        <v>354.220001220703</v>
      </c>
      <c r="G265" s="34" t="n">
        <v>83.4700012207031</v>
      </c>
      <c r="H265" s="34" t="n">
        <v>83.129997253418</v>
      </c>
      <c r="I265" s="34" t="n">
        <v>422.600006103516</v>
      </c>
      <c r="J265" s="34" t="n">
        <v>97.6500015258789</v>
      </c>
      <c r="L265" s="35" t="n">
        <f aca="false">IF(COUNT(N265:V265)&lt;9,"",SUMPRODUCT($B$12:$J$12,N265:V265))</f>
        <v>0.000866253992414092</v>
      </c>
      <c r="N265" s="35" t="n">
        <f aca="false">IF(OR(B265="",B264="",B264=0),"",B265/B264-1)</f>
        <v>0.00655278611125199</v>
      </c>
      <c r="O265" s="35" t="n">
        <f aca="false">IF(OR(C265="",C264="",C264=0),"",C265/C264-1)</f>
        <v>0.00360495875332312</v>
      </c>
      <c r="P265" s="35" t="n">
        <f aca="false">IF(OR(D265="",D264="",D264=0),"",D265/D264-1)</f>
        <v>0.0175071066480446</v>
      </c>
      <c r="Q265" s="35" t="n">
        <f aca="false">IF(OR(E265="",E264="",E264=0),"",E265/E264-1)</f>
        <v>-0.0156667073567705</v>
      </c>
      <c r="R265" s="35" t="n">
        <f aca="false">IF(OR(F265="",F264="",F264=0),"",F265/F264-1)</f>
        <v>-0.00639550849732673</v>
      </c>
      <c r="S265" s="35" t="n">
        <f aca="false">IF(OR(G265="",G264="",G264=0),"",G265/G264-1)</f>
        <v>-0.00890524803050741</v>
      </c>
      <c r="T265" s="35" t="n">
        <f aca="false">IF(OR(H265="",H264="",H264=0),"",H265/H264-1)</f>
        <v>-0.00204088585968198</v>
      </c>
      <c r="U265" s="35" t="n">
        <f aca="false">IF(OR(I265="",I264="",I264=0),"",I265/I264-1)</f>
        <v>0.0030380678748827</v>
      </c>
      <c r="V265" s="35" t="n">
        <f aca="false">IF(OR(J265="",J264="",J264=0),"",J265/J264-1)</f>
        <v>-0.00973531161678065</v>
      </c>
    </row>
    <row r="266" customFormat="false" ht="15" hidden="false" customHeight="false" outlineLevel="0" collapsed="false">
      <c r="A266" s="33" t="n">
        <v>46262</v>
      </c>
      <c r="B266" s="34" t="n">
        <v>769.349975585938</v>
      </c>
      <c r="C266" s="34" t="n">
        <v>319.700012207031</v>
      </c>
      <c r="D266" s="34" t="n">
        <v>513.530029296875</v>
      </c>
      <c r="E266" s="34" t="n">
        <v>268.040008544922</v>
      </c>
      <c r="F266" s="34" t="n">
        <v>357.619995117188</v>
      </c>
      <c r="G266" s="34" t="n">
        <v>81.8399963378906</v>
      </c>
      <c r="H266" s="34" t="n">
        <v>82.879997253418</v>
      </c>
      <c r="I266" s="34" t="n">
        <v>408.890014648438</v>
      </c>
      <c r="J266" s="34" t="n">
        <v>97.2399978637695</v>
      </c>
      <c r="L266" s="35" t="n">
        <f aca="false">IF(COUNT(N266:V266)&lt;9,"",SUMPRODUCT($B$12:$J$12,N266:V266))</f>
        <v>0.00135980662658085</v>
      </c>
      <c r="N266" s="35" t="n">
        <f aca="false">IF(OR(B266="",B265="",B265=0),"",B266/B265-1)</f>
        <v>-0.0022694852229378</v>
      </c>
      <c r="O266" s="35" t="n">
        <f aca="false">IF(OR(C266="",C265="",C265=0),"",C266/C265-1)</f>
        <v>0.0162757513297458</v>
      </c>
      <c r="P266" s="35" t="n">
        <f aca="false">IF(OR(D266="",D265="",D265=0),"",D266/D265-1)</f>
        <v>0.0167703476403285</v>
      </c>
      <c r="Q266" s="35" t="n">
        <f aca="false">IF(OR(E266="",E265="",E265=0),"",E266/E265-1)</f>
        <v>0.00854129369412449</v>
      </c>
      <c r="R266" s="35" t="n">
        <f aca="false">IF(OR(F266="",F265="",F265=0),"",F266/F265-1)</f>
        <v>0.00959853730666826</v>
      </c>
      <c r="S266" s="35" t="n">
        <f aca="false">IF(OR(G266="",G265="",G265=0),"",G266/G265-1)</f>
        <v>-0.019528032334666</v>
      </c>
      <c r="T266" s="35" t="n">
        <f aca="false">IF(OR(H266="",H265="",H265=0),"",H266/H265-1)</f>
        <v>-0.00300733800384823</v>
      </c>
      <c r="U266" s="35" t="n">
        <f aca="false">IF(OR(I266="",I265="",I265=0),"",I266/I265-1)</f>
        <v>-0.0324420048676473</v>
      </c>
      <c r="V266" s="35" t="n">
        <f aca="false">IF(OR(J266="",J265="",J265=0),"",J266/J265-1)</f>
        <v>-0.00419870615158924</v>
      </c>
    </row>
    <row r="267" customFormat="false" ht="15" hidden="false" customHeight="false" outlineLevel="0" collapsed="false">
      <c r="A267" s="33" t="n">
        <v>46265</v>
      </c>
      <c r="B267" s="34" t="n">
        <v>767.049987792969</v>
      </c>
      <c r="C267" s="34" t="n">
        <v>316.850006103516</v>
      </c>
      <c r="D267" s="34" t="n">
        <v>507.290008544922</v>
      </c>
      <c r="E267" s="34" t="n">
        <v>265.850006103516</v>
      </c>
      <c r="F267" s="34" t="n">
        <v>356.019989013672</v>
      </c>
      <c r="G267" s="34" t="n">
        <v>82.3399963378906</v>
      </c>
      <c r="H267" s="34" t="n">
        <v>82.5199966430664</v>
      </c>
      <c r="I267" s="34" t="n">
        <v>408.420013427734</v>
      </c>
      <c r="J267" s="34" t="n">
        <v>96.4400024414063</v>
      </c>
      <c r="L267" s="35" t="n">
        <f aca="false">IF(COUNT(N267:V267)&lt;9,"",SUMPRODUCT($B$12:$J$12,N267:V267))</f>
        <v>-0.00574516304617415</v>
      </c>
      <c r="N267" s="35" t="n">
        <f aca="false">IF(OR(B267="",B266="",B266=0),"",B267/B266-1)</f>
        <v>-0.00298952085001014</v>
      </c>
      <c r="O267" s="35" t="n">
        <f aca="false">IF(OR(C267="",C266="",C266=0),"",C267/C266-1)</f>
        <v>-0.00891462619547667</v>
      </c>
      <c r="P267" s="35" t="n">
        <f aca="false">IF(OR(D267="",D266="",D266=0),"",D267/D266-1)</f>
        <v>-0.0121512285474266</v>
      </c>
      <c r="Q267" s="35" t="n">
        <f aca="false">IF(OR(E267="",E266="",E266=0),"",E267/E266-1)</f>
        <v>-0.00817043117292293</v>
      </c>
      <c r="R267" s="35" t="n">
        <f aca="false">IF(OR(F267="",F266="",F266=0),"",F267/F266-1)</f>
        <v>-0.00447403983379546</v>
      </c>
      <c r="S267" s="35" t="n">
        <f aca="false">IF(OR(G267="",G266="",G266=0),"",G267/G266-1)</f>
        <v>0.00610948218931573</v>
      </c>
      <c r="T267" s="35" t="n">
        <f aca="false">IF(OR(H267="",H266="",H266=0),"",H267/H266-1)</f>
        <v>-0.00434363685185502</v>
      </c>
      <c r="U267" s="35" t="n">
        <f aca="false">IF(OR(I267="",I266="",I266=0),"",I267/I266-1)</f>
        <v>-0.00114945634245467</v>
      </c>
      <c r="V267" s="35" t="n">
        <f aca="false">IF(OR(J267="",J266="",J266=0),"",J267/J266-1)</f>
        <v>-0.00822702015567678</v>
      </c>
    </row>
    <row r="268" customFormat="false" ht="15" hidden="false" customHeight="false" outlineLevel="0" collapsed="false">
      <c r="A268" s="33" t="n">
        <v>46266</v>
      </c>
      <c r="B268" s="34" t="n">
        <v>761.780029296875</v>
      </c>
      <c r="C268" s="34" t="n">
        <v>325.130004882813</v>
      </c>
      <c r="D268" s="34" t="n">
        <v>501.019989013672</v>
      </c>
      <c r="E268" s="34" t="n">
        <v>271.190002441406</v>
      </c>
      <c r="F268" s="34" t="n">
        <v>354.950012207031</v>
      </c>
      <c r="G268" s="34" t="n">
        <v>82.9300003051758</v>
      </c>
      <c r="H268" s="34" t="n">
        <v>81.870002746582</v>
      </c>
      <c r="I268" s="34" t="n">
        <v>396.75</v>
      </c>
      <c r="J268" s="34" t="n">
        <v>96.3000030517578</v>
      </c>
      <c r="L268" s="35" t="n">
        <f aca="false">IF(COUNT(N268:V268)&lt;9,"",SUMPRODUCT($B$12:$J$12,N268:V268))</f>
        <v>-0.00029260052684865</v>
      </c>
      <c r="N268" s="35" t="n">
        <f aca="false">IF(OR(B268="",B267="",B267=0),"",B268/B267-1)</f>
        <v>-0.00687042380543834</v>
      </c>
      <c r="O268" s="35" t="n">
        <f aca="false">IF(OR(C268="",C267="",C267=0),"",C268/C267-1)</f>
        <v>0.0261322348739104</v>
      </c>
      <c r="P268" s="35" t="n">
        <f aca="false">IF(OR(D268="",D267="",D267=0),"",D268/D267-1)</f>
        <v>-0.0123598324935169</v>
      </c>
      <c r="Q268" s="35" t="n">
        <f aca="false">IF(OR(E268="",E267="",E267=0),"",E268/E267-1)</f>
        <v>0.020086500715786</v>
      </c>
      <c r="R268" s="35" t="n">
        <f aca="false">IF(OR(F268="",F267="",F267=0),"",F268/F267-1)</f>
        <v>-0.00300538407858852</v>
      </c>
      <c r="S268" s="35" t="n">
        <f aca="false">IF(OR(G268="",G267="",G267=0),"",G268/G267-1)</f>
        <v>0.00716546020799003</v>
      </c>
      <c r="T268" s="35" t="n">
        <f aca="false">IF(OR(H268="",H267="",H267=0),"",H268/H267-1)</f>
        <v>-0.00787680468887919</v>
      </c>
      <c r="U268" s="35" t="n">
        <f aca="false">IF(OR(I268="",I267="",I267=0),"",I268/I267-1)</f>
        <v>-0.0285735591892068</v>
      </c>
      <c r="V268" s="35" t="n">
        <f aca="false">IF(OR(J268="",J267="",J267=0),"",J268/J267-1)</f>
        <v>-0.00145167343534203</v>
      </c>
    </row>
    <row r="269" customFormat="false" ht="15" hidden="false" customHeight="false" outlineLevel="0" collapsed="false">
      <c r="A269" s="33" t="n">
        <v>46267</v>
      </c>
      <c r="B269" s="34" t="n">
        <v>765.159973144531</v>
      </c>
      <c r="C269" s="34" t="n">
        <v>324.959991455078</v>
      </c>
      <c r="D269" s="34" t="n">
        <v>496.820007324219</v>
      </c>
      <c r="E269" s="34" t="n">
        <v>275.209991455078</v>
      </c>
      <c r="F269" s="34" t="n">
        <v>356.220001220703</v>
      </c>
      <c r="G269" s="34" t="n">
        <v>83.0999984741211</v>
      </c>
      <c r="H269" s="34" t="n">
        <v>81.9499969482422</v>
      </c>
      <c r="I269" s="34" t="n">
        <v>402.779998779297</v>
      </c>
      <c r="J269" s="34" t="n">
        <v>95.7799987792969</v>
      </c>
      <c r="L269" s="35" t="n">
        <f aca="false">IF(COUNT(N269:V269)&lt;9,"",SUMPRODUCT($B$12:$J$12,N269:V269))</f>
        <v>0.00293775447230854</v>
      </c>
      <c r="N269" s="35" t="n">
        <f aca="false">IF(OR(B269="",B268="",B268=0),"",B269/B268-1)</f>
        <v>0.00443690267225261</v>
      </c>
      <c r="O269" s="35" t="n">
        <f aca="false">IF(OR(C269="",C268="",C268=0),"",C269/C268-1)</f>
        <v>-0.00052290906770136</v>
      </c>
      <c r="P269" s="35" t="n">
        <f aca="false">IF(OR(D269="",D268="",D268=0),"",D269/D268-1)</f>
        <v>-0.00838286252355169</v>
      </c>
      <c r="Q269" s="35" t="n">
        <f aca="false">IF(OR(E269="",E268="",E268=0),"",E269/E268-1)</f>
        <v>0.0148235147958324</v>
      </c>
      <c r="R269" s="35" t="n">
        <f aca="false">IF(OR(F269="",F268="",F268=0),"",F269/F268-1)</f>
        <v>0.00357793765317926</v>
      </c>
      <c r="S269" s="35" t="n">
        <f aca="false">IF(OR(G269="",G268="",G268=0),"",G269/G268-1)</f>
        <v>0.00204989953357915</v>
      </c>
      <c r="T269" s="35" t="n">
        <f aca="false">IF(OR(H269="",H268="",H268=0),"",H269/H268-1)</f>
        <v>0.000977088053945918</v>
      </c>
      <c r="U269" s="35" t="n">
        <f aca="false">IF(OR(I269="",I268="",I268=0),"",I269/I268-1)</f>
        <v>0.0151984846359092</v>
      </c>
      <c r="V269" s="35" t="n">
        <f aca="false">IF(OR(J269="",J268="",J268=0),"",J269/J268-1)</f>
        <v>-0.00539983651071552</v>
      </c>
    </row>
    <row r="270" customFormat="false" ht="15" hidden="false" customHeight="false" outlineLevel="0" collapsed="false">
      <c r="A270" s="36"/>
      <c r="B270" s="19"/>
      <c r="C270" s="19"/>
      <c r="D270" s="19"/>
      <c r="E270" s="19"/>
      <c r="F270" s="19"/>
      <c r="G270" s="19"/>
      <c r="H270" s="19"/>
      <c r="I270" s="19"/>
      <c r="J270" s="19"/>
      <c r="L270" s="35" t="str">
        <f aca="false">IF(COUNT(N270:V270)&lt;9,"",SUMPRODUCT($B$12:$J$12,N270:V270))</f>
        <v/>
      </c>
      <c r="N270" s="35" t="str">
        <f aca="false">IF(OR(B270="",B269="",B269=0),"",B270/B269-1)</f>
        <v/>
      </c>
      <c r="O270" s="35" t="str">
        <f aca="false">IF(OR(C270="",C269="",C269=0),"",C270/C269-1)</f>
        <v/>
      </c>
      <c r="P270" s="35" t="str">
        <f aca="false">IF(OR(D270="",D269="",D269=0),"",D270/D269-1)</f>
        <v/>
      </c>
      <c r="Q270" s="35" t="str">
        <f aca="false">IF(OR(E270="",E269="",E269=0),"",E270/E269-1)</f>
        <v/>
      </c>
      <c r="R270" s="35" t="str">
        <f aca="false">IF(OR(F270="",F269="",F269=0),"",F270/F269-1)</f>
        <v/>
      </c>
      <c r="S270" s="35" t="str">
        <f aca="false">IF(OR(G270="",G269="",G269=0),"",G270/G269-1)</f>
        <v/>
      </c>
      <c r="T270" s="35" t="str">
        <f aca="false">IF(OR(H270="",H269="",H269=0),"",H270/H269-1)</f>
        <v/>
      </c>
      <c r="U270" s="35" t="str">
        <f aca="false">IF(OR(I270="",I269="",I269=0),"",I270/I269-1)</f>
        <v/>
      </c>
      <c r="V270" s="35" t="str">
        <f aca="false">IF(OR(J270="",J269="",J269=0),"",J270/J269-1)</f>
        <v/>
      </c>
    </row>
    <row r="271" customFormat="false" ht="15" hidden="false" customHeight="false" outlineLevel="0" collapsed="false">
      <c r="A271" s="36"/>
      <c r="B271" s="19"/>
      <c r="C271" s="19"/>
      <c r="D271" s="19"/>
      <c r="E271" s="19"/>
      <c r="F271" s="19"/>
      <c r="G271" s="19"/>
      <c r="H271" s="19"/>
      <c r="I271" s="19"/>
      <c r="J271" s="19"/>
      <c r="L271" s="35" t="str">
        <f aca="false">IF(COUNT(N271:V271)&lt;9,"",SUMPRODUCT($B$12:$J$12,N271:V271))</f>
        <v/>
      </c>
      <c r="N271" s="35" t="str">
        <f aca="false">IF(OR(B271="",B270="",B270=0),"",B271/B270-1)</f>
        <v/>
      </c>
      <c r="O271" s="35" t="str">
        <f aca="false">IF(OR(C271="",C270="",C270=0),"",C271/C270-1)</f>
        <v/>
      </c>
      <c r="P271" s="35" t="str">
        <f aca="false">IF(OR(D271="",D270="",D270=0),"",D271/D270-1)</f>
        <v/>
      </c>
      <c r="Q271" s="35" t="str">
        <f aca="false">IF(OR(E271="",E270="",E270=0),"",E271/E270-1)</f>
        <v/>
      </c>
      <c r="R271" s="35" t="str">
        <f aca="false">IF(OR(F271="",F270="",F270=0),"",F271/F270-1)</f>
        <v/>
      </c>
      <c r="S271" s="35" t="str">
        <f aca="false">IF(OR(G271="",G270="",G270=0),"",G271/G270-1)</f>
        <v/>
      </c>
      <c r="T271" s="35" t="str">
        <f aca="false">IF(OR(H271="",H270="",H270=0),"",H271/H270-1)</f>
        <v/>
      </c>
      <c r="U271" s="35" t="str">
        <f aca="false">IF(OR(I271="",I270="",I270=0),"",I271/I270-1)</f>
        <v/>
      </c>
      <c r="V271" s="35" t="str">
        <f aca="false">IF(OR(J271="",J270="",J270=0),"",J271/J270-1)</f>
        <v/>
      </c>
    </row>
    <row r="272" customFormat="false" ht="15" hidden="false" customHeight="false" outlineLevel="0" collapsed="false">
      <c r="A272" s="36"/>
      <c r="B272" s="19"/>
      <c r="C272" s="19"/>
      <c r="D272" s="19"/>
      <c r="E272" s="19"/>
      <c r="F272" s="19"/>
      <c r="G272" s="19"/>
      <c r="H272" s="19"/>
      <c r="I272" s="19"/>
      <c r="J272" s="19"/>
      <c r="L272" s="35" t="str">
        <f aca="false">IF(COUNT(N272:V272)&lt;9,"",SUMPRODUCT($B$12:$J$12,N272:V272))</f>
        <v/>
      </c>
      <c r="N272" s="35" t="str">
        <f aca="false">IF(OR(B272="",B271="",B271=0),"",B272/B271-1)</f>
        <v/>
      </c>
      <c r="O272" s="35" t="str">
        <f aca="false">IF(OR(C272="",C271="",C271=0),"",C272/C271-1)</f>
        <v/>
      </c>
      <c r="P272" s="35" t="str">
        <f aca="false">IF(OR(D272="",D271="",D271=0),"",D272/D271-1)</f>
        <v/>
      </c>
      <c r="Q272" s="35" t="str">
        <f aca="false">IF(OR(E272="",E271="",E271=0),"",E272/E271-1)</f>
        <v/>
      </c>
      <c r="R272" s="35" t="str">
        <f aca="false">IF(OR(F272="",F271="",F271=0),"",F272/F271-1)</f>
        <v/>
      </c>
      <c r="S272" s="35" t="str">
        <f aca="false">IF(OR(G272="",G271="",G271=0),"",G272/G271-1)</f>
        <v/>
      </c>
      <c r="T272" s="35" t="str">
        <f aca="false">IF(OR(H272="",H271="",H271=0),"",H272/H271-1)</f>
        <v/>
      </c>
      <c r="U272" s="35" t="str">
        <f aca="false">IF(OR(I272="",I271="",I271=0),"",I272/I271-1)</f>
        <v/>
      </c>
      <c r="V272" s="35" t="str">
        <f aca="false">IF(OR(J272="",J271="",J271=0),"",J272/J271-1)</f>
        <v/>
      </c>
    </row>
    <row r="273" customFormat="false" ht="15" hidden="false" customHeight="false" outlineLevel="0" collapsed="false">
      <c r="A273" s="36"/>
      <c r="B273" s="19"/>
      <c r="C273" s="19"/>
      <c r="D273" s="19"/>
      <c r="E273" s="19"/>
      <c r="F273" s="19"/>
      <c r="G273" s="19"/>
      <c r="H273" s="19"/>
      <c r="I273" s="19"/>
      <c r="J273" s="19"/>
      <c r="L273" s="35" t="str">
        <f aca="false">IF(COUNT(N273:V273)&lt;9,"",SUMPRODUCT($B$12:$J$12,N273:V273))</f>
        <v/>
      </c>
      <c r="N273" s="35" t="str">
        <f aca="false">IF(OR(B273="",B272="",B272=0),"",B273/B272-1)</f>
        <v/>
      </c>
      <c r="O273" s="35" t="str">
        <f aca="false">IF(OR(C273="",C272="",C272=0),"",C273/C272-1)</f>
        <v/>
      </c>
      <c r="P273" s="35" t="str">
        <f aca="false">IF(OR(D273="",D272="",D272=0),"",D273/D272-1)</f>
        <v/>
      </c>
      <c r="Q273" s="35" t="str">
        <f aca="false">IF(OR(E273="",E272="",E272=0),"",E273/E272-1)</f>
        <v/>
      </c>
      <c r="R273" s="35" t="str">
        <f aca="false">IF(OR(F273="",F272="",F272=0),"",F273/F272-1)</f>
        <v/>
      </c>
      <c r="S273" s="35" t="str">
        <f aca="false">IF(OR(G273="",G272="",G272=0),"",G273/G272-1)</f>
        <v/>
      </c>
      <c r="T273" s="35" t="str">
        <f aca="false">IF(OR(H273="",H272="",H272=0),"",H273/H272-1)</f>
        <v/>
      </c>
      <c r="U273" s="35" t="str">
        <f aca="false">IF(OR(I273="",I272="",I272=0),"",I273/I272-1)</f>
        <v/>
      </c>
      <c r="V273" s="35" t="str">
        <f aca="false">IF(OR(J273="",J272="",J272=0),"",J273/J272-1)</f>
        <v/>
      </c>
    </row>
    <row r="274" customFormat="false" ht="15" hidden="false" customHeight="false" outlineLevel="0" collapsed="false">
      <c r="A274" s="36"/>
      <c r="B274" s="19"/>
      <c r="C274" s="19"/>
      <c r="D274" s="19"/>
      <c r="E274" s="19"/>
      <c r="F274" s="19"/>
      <c r="G274" s="19"/>
      <c r="H274" s="19"/>
      <c r="I274" s="19"/>
      <c r="J274" s="19"/>
      <c r="L274" s="35" t="str">
        <f aca="false">IF(COUNT(N274:V274)&lt;9,"",SUMPRODUCT($B$12:$J$12,N274:V274))</f>
        <v/>
      </c>
      <c r="N274" s="35" t="str">
        <f aca="false">IF(OR(B274="",B273="",B273=0),"",B274/B273-1)</f>
        <v/>
      </c>
      <c r="O274" s="35" t="str">
        <f aca="false">IF(OR(C274="",C273="",C273=0),"",C274/C273-1)</f>
        <v/>
      </c>
      <c r="P274" s="35" t="str">
        <f aca="false">IF(OR(D274="",D273="",D273=0),"",D274/D273-1)</f>
        <v/>
      </c>
      <c r="Q274" s="35" t="str">
        <f aca="false">IF(OR(E274="",E273="",E273=0),"",E274/E273-1)</f>
        <v/>
      </c>
      <c r="R274" s="35" t="str">
        <f aca="false">IF(OR(F274="",F273="",F273=0),"",F274/F273-1)</f>
        <v/>
      </c>
      <c r="S274" s="35" t="str">
        <f aca="false">IF(OR(G274="",G273="",G273=0),"",G274/G273-1)</f>
        <v/>
      </c>
      <c r="T274" s="35" t="str">
        <f aca="false">IF(OR(H274="",H273="",H273=0),"",H274/H273-1)</f>
        <v/>
      </c>
      <c r="U274" s="35" t="str">
        <f aca="false">IF(OR(I274="",I273="",I273=0),"",I274/I273-1)</f>
        <v/>
      </c>
      <c r="V274" s="35" t="str">
        <f aca="false">IF(OR(J274="",J273="",J273=0),"",J274/J273-1)</f>
        <v/>
      </c>
    </row>
    <row r="275" customFormat="false" ht="15" hidden="false" customHeight="false" outlineLevel="0" collapsed="false">
      <c r="A275" s="36"/>
      <c r="B275" s="19"/>
      <c r="C275" s="19"/>
      <c r="D275" s="19"/>
      <c r="E275" s="19"/>
      <c r="F275" s="19"/>
      <c r="G275" s="19"/>
      <c r="H275" s="19"/>
      <c r="I275" s="19"/>
      <c r="J275" s="19"/>
      <c r="L275" s="35" t="str">
        <f aca="false">IF(COUNT(N275:V275)&lt;9,"",SUMPRODUCT($B$12:$J$12,N275:V275))</f>
        <v/>
      </c>
      <c r="N275" s="35" t="str">
        <f aca="false">IF(OR(B275="",B274="",B274=0),"",B275/B274-1)</f>
        <v/>
      </c>
      <c r="O275" s="35" t="str">
        <f aca="false">IF(OR(C275="",C274="",C274=0),"",C275/C274-1)</f>
        <v/>
      </c>
      <c r="P275" s="35" t="str">
        <f aca="false">IF(OR(D275="",D274="",D274=0),"",D275/D274-1)</f>
        <v/>
      </c>
      <c r="Q275" s="35" t="str">
        <f aca="false">IF(OR(E275="",E274="",E274=0),"",E275/E274-1)</f>
        <v/>
      </c>
      <c r="R275" s="35" t="str">
        <f aca="false">IF(OR(F275="",F274="",F274=0),"",F275/F274-1)</f>
        <v/>
      </c>
      <c r="S275" s="35" t="str">
        <f aca="false">IF(OR(G275="",G274="",G274=0),"",G275/G274-1)</f>
        <v/>
      </c>
      <c r="T275" s="35" t="str">
        <f aca="false">IF(OR(H275="",H274="",H274=0),"",H275/H274-1)</f>
        <v/>
      </c>
      <c r="U275" s="35" t="str">
        <f aca="false">IF(OR(I275="",I274="",I274=0),"",I275/I274-1)</f>
        <v/>
      </c>
      <c r="V275" s="35" t="str">
        <f aca="false">IF(OR(J275="",J274="",J274=0),"",J275/J274-1)</f>
        <v/>
      </c>
    </row>
    <row r="276" customFormat="false" ht="15" hidden="false" customHeight="false" outlineLevel="0" collapsed="false">
      <c r="A276" s="36"/>
      <c r="B276" s="19"/>
      <c r="C276" s="19"/>
      <c r="D276" s="19"/>
      <c r="E276" s="19"/>
      <c r="F276" s="19"/>
      <c r="G276" s="19"/>
      <c r="H276" s="19"/>
      <c r="I276" s="19"/>
      <c r="J276" s="19"/>
      <c r="L276" s="35" t="str">
        <f aca="false">IF(COUNT(N276:V276)&lt;9,"",SUMPRODUCT($B$12:$J$12,N276:V276))</f>
        <v/>
      </c>
      <c r="N276" s="35" t="str">
        <f aca="false">IF(OR(B276="",B275="",B275=0),"",B276/B275-1)</f>
        <v/>
      </c>
      <c r="O276" s="35" t="str">
        <f aca="false">IF(OR(C276="",C275="",C275=0),"",C276/C275-1)</f>
        <v/>
      </c>
      <c r="P276" s="35" t="str">
        <f aca="false">IF(OR(D276="",D275="",D275=0),"",D276/D275-1)</f>
        <v/>
      </c>
      <c r="Q276" s="35" t="str">
        <f aca="false">IF(OR(E276="",E275="",E275=0),"",E276/E275-1)</f>
        <v/>
      </c>
      <c r="R276" s="35" t="str">
        <f aca="false">IF(OR(F276="",F275="",F275=0),"",F276/F275-1)</f>
        <v/>
      </c>
      <c r="S276" s="35" t="str">
        <f aca="false">IF(OR(G276="",G275="",G275=0),"",G276/G275-1)</f>
        <v/>
      </c>
      <c r="T276" s="35" t="str">
        <f aca="false">IF(OR(H276="",H275="",H275=0),"",H276/H275-1)</f>
        <v/>
      </c>
      <c r="U276" s="35" t="str">
        <f aca="false">IF(OR(I276="",I275="",I275=0),"",I276/I275-1)</f>
        <v/>
      </c>
      <c r="V276" s="35" t="str">
        <f aca="false">IF(OR(J276="",J275="",J275=0),"",J276/J275-1)</f>
        <v/>
      </c>
    </row>
    <row r="277" customFormat="false" ht="15" hidden="false" customHeight="false" outlineLevel="0" collapsed="false">
      <c r="A277" s="36"/>
      <c r="B277" s="19"/>
      <c r="C277" s="19"/>
      <c r="D277" s="19"/>
      <c r="E277" s="19"/>
      <c r="F277" s="19"/>
      <c r="G277" s="19"/>
      <c r="H277" s="19"/>
      <c r="I277" s="19"/>
      <c r="J277" s="19"/>
      <c r="L277" s="35" t="str">
        <f aca="false">IF(COUNT(N277:V277)&lt;9,"",SUMPRODUCT($B$12:$J$12,N277:V277))</f>
        <v/>
      </c>
      <c r="N277" s="35" t="str">
        <f aca="false">IF(OR(B277="",B276="",B276=0),"",B277/B276-1)</f>
        <v/>
      </c>
      <c r="O277" s="35" t="str">
        <f aca="false">IF(OR(C277="",C276="",C276=0),"",C277/C276-1)</f>
        <v/>
      </c>
      <c r="P277" s="35" t="str">
        <f aca="false">IF(OR(D277="",D276="",D276=0),"",D277/D276-1)</f>
        <v/>
      </c>
      <c r="Q277" s="35" t="str">
        <f aca="false">IF(OR(E277="",E276="",E276=0),"",E277/E276-1)</f>
        <v/>
      </c>
      <c r="R277" s="35" t="str">
        <f aca="false">IF(OR(F277="",F276="",F276=0),"",F277/F276-1)</f>
        <v/>
      </c>
      <c r="S277" s="35" t="str">
        <f aca="false">IF(OR(G277="",G276="",G276=0),"",G277/G276-1)</f>
        <v/>
      </c>
      <c r="T277" s="35" t="str">
        <f aca="false">IF(OR(H277="",H276="",H276=0),"",H277/H276-1)</f>
        <v/>
      </c>
      <c r="U277" s="35" t="str">
        <f aca="false">IF(OR(I277="",I276="",I276=0),"",I277/I276-1)</f>
        <v/>
      </c>
      <c r="V277" s="35" t="str">
        <f aca="false">IF(OR(J277="",J276="",J276=0),"",J277/J276-1)</f>
        <v/>
      </c>
    </row>
    <row r="278" customFormat="false" ht="15" hidden="false" customHeight="false" outlineLevel="0" collapsed="false">
      <c r="A278" s="36"/>
      <c r="B278" s="19"/>
      <c r="C278" s="19"/>
      <c r="D278" s="19"/>
      <c r="E278" s="19"/>
      <c r="F278" s="19"/>
      <c r="G278" s="19"/>
      <c r="H278" s="19"/>
      <c r="I278" s="19"/>
      <c r="J278" s="19"/>
      <c r="L278" s="35" t="str">
        <f aca="false">IF(COUNT(N278:V278)&lt;9,"",SUMPRODUCT($B$12:$J$12,N278:V278))</f>
        <v/>
      </c>
      <c r="N278" s="35" t="str">
        <f aca="false">IF(OR(B278="",B277="",B277=0),"",B278/B277-1)</f>
        <v/>
      </c>
      <c r="O278" s="35" t="str">
        <f aca="false">IF(OR(C278="",C277="",C277=0),"",C278/C277-1)</f>
        <v/>
      </c>
      <c r="P278" s="35" t="str">
        <f aca="false">IF(OR(D278="",D277="",D277=0),"",D278/D277-1)</f>
        <v/>
      </c>
      <c r="Q278" s="35" t="str">
        <f aca="false">IF(OR(E278="",E277="",E277=0),"",E278/E277-1)</f>
        <v/>
      </c>
      <c r="R278" s="35" t="str">
        <f aca="false">IF(OR(F278="",F277="",F277=0),"",F278/F277-1)</f>
        <v/>
      </c>
      <c r="S278" s="35" t="str">
        <f aca="false">IF(OR(G278="",G277="",G277=0),"",G278/G277-1)</f>
        <v/>
      </c>
      <c r="T278" s="35" t="str">
        <f aca="false">IF(OR(H278="",H277="",H277=0),"",H278/H277-1)</f>
        <v/>
      </c>
      <c r="U278" s="35" t="str">
        <f aca="false">IF(OR(I278="",I277="",I277=0),"",I278/I277-1)</f>
        <v/>
      </c>
      <c r="V278" s="35" t="str">
        <f aca="false">IF(OR(J278="",J277="",J277=0),"",J278/J277-1)</f>
        <v/>
      </c>
    </row>
    <row r="279" customFormat="false" ht="15" hidden="false" customHeight="false" outlineLevel="0" collapsed="false">
      <c r="A279" s="36"/>
      <c r="B279" s="19"/>
      <c r="C279" s="19"/>
      <c r="D279" s="19"/>
      <c r="E279" s="19"/>
      <c r="F279" s="19"/>
      <c r="G279" s="19"/>
      <c r="H279" s="19"/>
      <c r="I279" s="19"/>
      <c r="J279" s="19"/>
      <c r="L279" s="35" t="str">
        <f aca="false">IF(COUNT(N279:V279)&lt;9,"",SUMPRODUCT($B$12:$J$12,N279:V279))</f>
        <v/>
      </c>
      <c r="N279" s="35" t="str">
        <f aca="false">IF(OR(B279="",B278="",B278=0),"",B279/B278-1)</f>
        <v/>
      </c>
      <c r="O279" s="35" t="str">
        <f aca="false">IF(OR(C279="",C278="",C278=0),"",C279/C278-1)</f>
        <v/>
      </c>
      <c r="P279" s="35" t="str">
        <f aca="false">IF(OR(D279="",D278="",D278=0),"",D279/D278-1)</f>
        <v/>
      </c>
      <c r="Q279" s="35" t="str">
        <f aca="false">IF(OR(E279="",E278="",E278=0),"",E279/E278-1)</f>
        <v/>
      </c>
      <c r="R279" s="35" t="str">
        <f aca="false">IF(OR(F279="",F278="",F278=0),"",F279/F278-1)</f>
        <v/>
      </c>
      <c r="S279" s="35" t="str">
        <f aca="false">IF(OR(G279="",G278="",G278=0),"",G279/G278-1)</f>
        <v/>
      </c>
      <c r="T279" s="35" t="str">
        <f aca="false">IF(OR(H279="",H278="",H278=0),"",H279/H278-1)</f>
        <v/>
      </c>
      <c r="U279" s="35" t="str">
        <f aca="false">IF(OR(I279="",I278="",I278=0),"",I279/I278-1)</f>
        <v/>
      </c>
      <c r="V279" s="35" t="str">
        <f aca="false">IF(OR(J279="",J278="",J278=0),"",J279/J278-1)</f>
        <v/>
      </c>
    </row>
    <row r="280" customFormat="false" ht="15" hidden="false" customHeight="false" outlineLevel="0" collapsed="false">
      <c r="A280" s="36"/>
      <c r="B280" s="19"/>
      <c r="C280" s="19"/>
      <c r="D280" s="19"/>
      <c r="E280" s="19"/>
      <c r="F280" s="19"/>
      <c r="G280" s="19"/>
      <c r="H280" s="19"/>
      <c r="I280" s="19"/>
      <c r="J280" s="19"/>
      <c r="L280" s="35" t="str">
        <f aca="false">IF(COUNT(N280:V280)&lt;9,"",SUMPRODUCT($B$12:$J$12,N280:V280))</f>
        <v/>
      </c>
      <c r="N280" s="35" t="str">
        <f aca="false">IF(OR(B280="",B279="",B279=0),"",B280/B279-1)</f>
        <v/>
      </c>
      <c r="O280" s="35" t="str">
        <f aca="false">IF(OR(C280="",C279="",C279=0),"",C280/C279-1)</f>
        <v/>
      </c>
      <c r="P280" s="35" t="str">
        <f aca="false">IF(OR(D280="",D279="",D279=0),"",D280/D279-1)</f>
        <v/>
      </c>
      <c r="Q280" s="35" t="str">
        <f aca="false">IF(OR(E280="",E279="",E279=0),"",E280/E279-1)</f>
        <v/>
      </c>
      <c r="R280" s="35" t="str">
        <f aca="false">IF(OR(F280="",F279="",F279=0),"",F280/F279-1)</f>
        <v/>
      </c>
      <c r="S280" s="35" t="str">
        <f aca="false">IF(OR(G280="",G279="",G279=0),"",G280/G279-1)</f>
        <v/>
      </c>
      <c r="T280" s="35" t="str">
        <f aca="false">IF(OR(H280="",H279="",H279=0),"",H280/H279-1)</f>
        <v/>
      </c>
      <c r="U280" s="35" t="str">
        <f aca="false">IF(OR(I280="",I279="",I279=0),"",I280/I279-1)</f>
        <v/>
      </c>
      <c r="V280" s="35" t="str">
        <f aca="false">IF(OR(J280="",J279="",J279=0),"",J280/J279-1)</f>
        <v/>
      </c>
    </row>
    <row r="281" customFormat="false" ht="15" hidden="false" customHeight="false" outlineLevel="0" collapsed="false">
      <c r="A281" s="36"/>
      <c r="B281" s="19"/>
      <c r="C281" s="19"/>
      <c r="D281" s="19"/>
      <c r="E281" s="19"/>
      <c r="F281" s="19"/>
      <c r="G281" s="19"/>
      <c r="H281" s="19"/>
      <c r="I281" s="19"/>
      <c r="J281" s="19"/>
      <c r="L281" s="35" t="str">
        <f aca="false">IF(COUNT(N281:V281)&lt;9,"",SUMPRODUCT($B$12:$J$12,N281:V281))</f>
        <v/>
      </c>
      <c r="N281" s="35" t="str">
        <f aca="false">IF(OR(B281="",B280="",B280=0),"",B281/B280-1)</f>
        <v/>
      </c>
      <c r="O281" s="35" t="str">
        <f aca="false">IF(OR(C281="",C280="",C280=0),"",C281/C280-1)</f>
        <v/>
      </c>
      <c r="P281" s="35" t="str">
        <f aca="false">IF(OR(D281="",D280="",D280=0),"",D281/D280-1)</f>
        <v/>
      </c>
      <c r="Q281" s="35" t="str">
        <f aca="false">IF(OR(E281="",E280="",E280=0),"",E281/E280-1)</f>
        <v/>
      </c>
      <c r="R281" s="35" t="str">
        <f aca="false">IF(OR(F281="",F280="",F280=0),"",F281/F280-1)</f>
        <v/>
      </c>
      <c r="S281" s="35" t="str">
        <f aca="false">IF(OR(G281="",G280="",G280=0),"",G281/G280-1)</f>
        <v/>
      </c>
      <c r="T281" s="35" t="str">
        <f aca="false">IF(OR(H281="",H280="",H280=0),"",H281/H280-1)</f>
        <v/>
      </c>
      <c r="U281" s="35" t="str">
        <f aca="false">IF(OR(I281="",I280="",I280=0),"",I281/I280-1)</f>
        <v/>
      </c>
      <c r="V281" s="35" t="str">
        <f aca="false">IF(OR(J281="",J280="",J280=0),"",J281/J280-1)</f>
        <v/>
      </c>
    </row>
    <row r="282" customFormat="false" ht="15" hidden="false" customHeight="false" outlineLevel="0" collapsed="false">
      <c r="A282" s="36"/>
      <c r="B282" s="19"/>
      <c r="C282" s="19"/>
      <c r="D282" s="19"/>
      <c r="E282" s="19"/>
      <c r="F282" s="19"/>
      <c r="G282" s="19"/>
      <c r="H282" s="19"/>
      <c r="I282" s="19"/>
      <c r="J282" s="19"/>
      <c r="L282" s="35" t="str">
        <f aca="false">IF(COUNT(N282:V282)&lt;9,"",SUMPRODUCT($B$12:$J$12,N282:V282))</f>
        <v/>
      </c>
      <c r="N282" s="35" t="str">
        <f aca="false">IF(OR(B282="",B281="",B281=0),"",B282/B281-1)</f>
        <v/>
      </c>
      <c r="O282" s="35" t="str">
        <f aca="false">IF(OR(C282="",C281="",C281=0),"",C282/C281-1)</f>
        <v/>
      </c>
      <c r="P282" s="35" t="str">
        <f aca="false">IF(OR(D282="",D281="",D281=0),"",D282/D281-1)</f>
        <v/>
      </c>
      <c r="Q282" s="35" t="str">
        <f aca="false">IF(OR(E282="",E281="",E281=0),"",E282/E281-1)</f>
        <v/>
      </c>
      <c r="R282" s="35" t="str">
        <f aca="false">IF(OR(F282="",F281="",F281=0),"",F282/F281-1)</f>
        <v/>
      </c>
      <c r="S282" s="35" t="str">
        <f aca="false">IF(OR(G282="",G281="",G281=0),"",G282/G281-1)</f>
        <v/>
      </c>
      <c r="T282" s="35" t="str">
        <f aca="false">IF(OR(H282="",H281="",H281=0),"",H282/H281-1)</f>
        <v/>
      </c>
      <c r="U282" s="35" t="str">
        <f aca="false">IF(OR(I282="",I281="",I281=0),"",I282/I281-1)</f>
        <v/>
      </c>
      <c r="V282" s="35" t="str">
        <f aca="false">IF(OR(J282="",J281="",J281=0),"",J282/J281-1)</f>
        <v/>
      </c>
    </row>
    <row r="283" customFormat="false" ht="15" hidden="false" customHeight="false" outlineLevel="0" collapsed="false">
      <c r="A283" s="36"/>
      <c r="B283" s="19"/>
      <c r="C283" s="19"/>
      <c r="D283" s="19"/>
      <c r="E283" s="19"/>
      <c r="F283" s="19"/>
      <c r="G283" s="19"/>
      <c r="H283" s="19"/>
      <c r="I283" s="19"/>
      <c r="J283" s="19"/>
      <c r="L283" s="35" t="str">
        <f aca="false">IF(COUNT(N283:V283)&lt;9,"",SUMPRODUCT($B$12:$J$12,N283:V283))</f>
        <v/>
      </c>
      <c r="N283" s="35" t="str">
        <f aca="false">IF(OR(B283="",B282="",B282=0),"",B283/B282-1)</f>
        <v/>
      </c>
      <c r="O283" s="35" t="str">
        <f aca="false">IF(OR(C283="",C282="",C282=0),"",C283/C282-1)</f>
        <v/>
      </c>
      <c r="P283" s="35" t="str">
        <f aca="false">IF(OR(D283="",D282="",D282=0),"",D283/D282-1)</f>
        <v/>
      </c>
      <c r="Q283" s="35" t="str">
        <f aca="false">IF(OR(E283="",E282="",E282=0),"",E283/E282-1)</f>
        <v/>
      </c>
      <c r="R283" s="35" t="str">
        <f aca="false">IF(OR(F283="",F282="",F282=0),"",F283/F282-1)</f>
        <v/>
      </c>
      <c r="S283" s="35" t="str">
        <f aca="false">IF(OR(G283="",G282="",G282=0),"",G283/G282-1)</f>
        <v/>
      </c>
      <c r="T283" s="35" t="str">
        <f aca="false">IF(OR(H283="",H282="",H282=0),"",H283/H282-1)</f>
        <v/>
      </c>
      <c r="U283" s="35" t="str">
        <f aca="false">IF(OR(I283="",I282="",I282=0),"",I283/I282-1)</f>
        <v/>
      </c>
      <c r="V283" s="35" t="str">
        <f aca="false">IF(OR(J283="",J282="",J282=0),"",J283/J282-1)</f>
        <v/>
      </c>
    </row>
    <row r="284" customFormat="false" ht="15" hidden="false" customHeight="false" outlineLevel="0" collapsed="false">
      <c r="A284" s="36"/>
      <c r="B284" s="19"/>
      <c r="C284" s="19"/>
      <c r="D284" s="19"/>
      <c r="E284" s="19"/>
      <c r="F284" s="19"/>
      <c r="G284" s="19"/>
      <c r="H284" s="19"/>
      <c r="I284" s="19"/>
      <c r="J284" s="19"/>
      <c r="L284" s="35" t="str">
        <f aca="false">IF(COUNT(N284:V284)&lt;9,"",SUMPRODUCT($B$12:$J$12,N284:V284))</f>
        <v/>
      </c>
      <c r="N284" s="35" t="str">
        <f aca="false">IF(OR(B284="",B283="",B283=0),"",B284/B283-1)</f>
        <v/>
      </c>
      <c r="O284" s="35" t="str">
        <f aca="false">IF(OR(C284="",C283="",C283=0),"",C284/C283-1)</f>
        <v/>
      </c>
      <c r="P284" s="35" t="str">
        <f aca="false">IF(OR(D284="",D283="",D283=0),"",D284/D283-1)</f>
        <v/>
      </c>
      <c r="Q284" s="35" t="str">
        <f aca="false">IF(OR(E284="",E283="",E283=0),"",E284/E283-1)</f>
        <v/>
      </c>
      <c r="R284" s="35" t="str">
        <f aca="false">IF(OR(F284="",F283="",F283=0),"",F284/F283-1)</f>
        <v/>
      </c>
      <c r="S284" s="35" t="str">
        <f aca="false">IF(OR(G284="",G283="",G283=0),"",G284/G283-1)</f>
        <v/>
      </c>
      <c r="T284" s="35" t="str">
        <f aca="false">IF(OR(H284="",H283="",H283=0),"",H284/H283-1)</f>
        <v/>
      </c>
      <c r="U284" s="35" t="str">
        <f aca="false">IF(OR(I284="",I283="",I283=0),"",I284/I283-1)</f>
        <v/>
      </c>
      <c r="V284" s="35" t="str">
        <f aca="false">IF(OR(J284="",J283="",J283=0),"",J284/J283-1)</f>
        <v/>
      </c>
    </row>
    <row r="285" customFormat="false" ht="15" hidden="false" customHeight="false" outlineLevel="0" collapsed="false">
      <c r="A285" s="36"/>
      <c r="B285" s="19"/>
      <c r="C285" s="19"/>
      <c r="D285" s="19"/>
      <c r="E285" s="19"/>
      <c r="F285" s="19"/>
      <c r="G285" s="19"/>
      <c r="H285" s="19"/>
      <c r="I285" s="19"/>
      <c r="J285" s="19"/>
      <c r="L285" s="35" t="str">
        <f aca="false">IF(COUNT(N285:V285)&lt;9,"",SUMPRODUCT($B$12:$J$12,N285:V285))</f>
        <v/>
      </c>
      <c r="N285" s="35" t="str">
        <f aca="false">IF(OR(B285="",B284="",B284=0),"",B285/B284-1)</f>
        <v/>
      </c>
      <c r="O285" s="35" t="str">
        <f aca="false">IF(OR(C285="",C284="",C284=0),"",C285/C284-1)</f>
        <v/>
      </c>
      <c r="P285" s="35" t="str">
        <f aca="false">IF(OR(D285="",D284="",D284=0),"",D285/D284-1)</f>
        <v/>
      </c>
      <c r="Q285" s="35" t="str">
        <f aca="false">IF(OR(E285="",E284="",E284=0),"",E285/E284-1)</f>
        <v/>
      </c>
      <c r="R285" s="35" t="str">
        <f aca="false">IF(OR(F285="",F284="",F284=0),"",F285/F284-1)</f>
        <v/>
      </c>
      <c r="S285" s="35" t="str">
        <f aca="false">IF(OR(G285="",G284="",G284=0),"",G285/G284-1)</f>
        <v/>
      </c>
      <c r="T285" s="35" t="str">
        <f aca="false">IF(OR(H285="",H284="",H284=0),"",H285/H284-1)</f>
        <v/>
      </c>
      <c r="U285" s="35" t="str">
        <f aca="false">IF(OR(I285="",I284="",I284=0),"",I285/I284-1)</f>
        <v/>
      </c>
      <c r="V285" s="35" t="str">
        <f aca="false">IF(OR(J285="",J284="",J284=0),"",J285/J284-1)</f>
        <v/>
      </c>
    </row>
    <row r="286" customFormat="false" ht="15" hidden="false" customHeight="false" outlineLevel="0" collapsed="false">
      <c r="A286" s="36"/>
      <c r="B286" s="19"/>
      <c r="C286" s="19"/>
      <c r="D286" s="19"/>
      <c r="E286" s="19"/>
      <c r="F286" s="19"/>
      <c r="G286" s="19"/>
      <c r="H286" s="19"/>
      <c r="I286" s="19"/>
      <c r="J286" s="19"/>
      <c r="L286" s="35" t="str">
        <f aca="false">IF(COUNT(N286:V286)&lt;9,"",SUMPRODUCT($B$12:$J$12,N286:V286))</f>
        <v/>
      </c>
      <c r="N286" s="35" t="str">
        <f aca="false">IF(OR(B286="",B285="",B285=0),"",B286/B285-1)</f>
        <v/>
      </c>
      <c r="O286" s="35" t="str">
        <f aca="false">IF(OR(C286="",C285="",C285=0),"",C286/C285-1)</f>
        <v/>
      </c>
      <c r="P286" s="35" t="str">
        <f aca="false">IF(OR(D286="",D285="",D285=0),"",D286/D285-1)</f>
        <v/>
      </c>
      <c r="Q286" s="35" t="str">
        <f aca="false">IF(OR(E286="",E285="",E285=0),"",E286/E285-1)</f>
        <v/>
      </c>
      <c r="R286" s="35" t="str">
        <f aca="false">IF(OR(F286="",F285="",F285=0),"",F286/F285-1)</f>
        <v/>
      </c>
      <c r="S286" s="35" t="str">
        <f aca="false">IF(OR(G286="",G285="",G285=0),"",G286/G285-1)</f>
        <v/>
      </c>
      <c r="T286" s="35" t="str">
        <f aca="false">IF(OR(H286="",H285="",H285=0),"",H286/H285-1)</f>
        <v/>
      </c>
      <c r="U286" s="35" t="str">
        <f aca="false">IF(OR(I286="",I285="",I285=0),"",I286/I285-1)</f>
        <v/>
      </c>
      <c r="V286" s="35" t="str">
        <f aca="false">IF(OR(J286="",J285="",J285=0),"",J286/J285-1)</f>
        <v/>
      </c>
    </row>
    <row r="287" customFormat="false" ht="15" hidden="false" customHeight="false" outlineLevel="0" collapsed="false">
      <c r="A287" s="36"/>
      <c r="B287" s="19"/>
      <c r="C287" s="19"/>
      <c r="D287" s="19"/>
      <c r="E287" s="19"/>
      <c r="F287" s="19"/>
      <c r="G287" s="19"/>
      <c r="H287" s="19"/>
      <c r="I287" s="19"/>
      <c r="J287" s="19"/>
      <c r="L287" s="35" t="str">
        <f aca="false">IF(COUNT(N287:V287)&lt;9,"",SUMPRODUCT($B$12:$J$12,N287:V287))</f>
        <v/>
      </c>
      <c r="N287" s="35" t="str">
        <f aca="false">IF(OR(B287="",B286="",B286=0),"",B287/B286-1)</f>
        <v/>
      </c>
      <c r="O287" s="35" t="str">
        <f aca="false">IF(OR(C287="",C286="",C286=0),"",C287/C286-1)</f>
        <v/>
      </c>
      <c r="P287" s="35" t="str">
        <f aca="false">IF(OR(D287="",D286="",D286=0),"",D287/D286-1)</f>
        <v/>
      </c>
      <c r="Q287" s="35" t="str">
        <f aca="false">IF(OR(E287="",E286="",E286=0),"",E287/E286-1)</f>
        <v/>
      </c>
      <c r="R287" s="35" t="str">
        <f aca="false">IF(OR(F287="",F286="",F286=0),"",F287/F286-1)</f>
        <v/>
      </c>
      <c r="S287" s="35" t="str">
        <f aca="false">IF(OR(G287="",G286="",G286=0),"",G287/G286-1)</f>
        <v/>
      </c>
      <c r="T287" s="35" t="str">
        <f aca="false">IF(OR(H287="",H286="",H286=0),"",H287/H286-1)</f>
        <v/>
      </c>
      <c r="U287" s="35" t="str">
        <f aca="false">IF(OR(I287="",I286="",I286=0),"",I287/I286-1)</f>
        <v/>
      </c>
      <c r="V287" s="35" t="str">
        <f aca="false">IF(OR(J287="",J286="",J286=0),"",J287/J286-1)</f>
        <v/>
      </c>
    </row>
    <row r="289" customFormat="false" ht="18" hidden="false" customHeight="true" outlineLevel="0" collapsed="false">
      <c r="A289" s="1" t="s">
        <v>145</v>
      </c>
    </row>
    <row r="290" customFormat="false" ht="15" hidden="false" customHeight="false" outlineLevel="0" collapsed="false">
      <c r="A290" s="5" t="s">
        <v>146</v>
      </c>
      <c r="B290" s="37" t="n">
        <f aca="false">COUNT(L18:L287)</f>
        <v>251</v>
      </c>
    </row>
    <row r="291" customFormat="false" ht="15" hidden="false" customHeight="false" outlineLevel="0" collapsed="false">
      <c r="A291" s="5" t="s">
        <v>147</v>
      </c>
      <c r="B291" s="38" t="n">
        <f aca="false">IF(COUNT(L18:L287)&lt;2,"",STDEV(L18:L287))</f>
        <v>0.00648435841842131</v>
      </c>
    </row>
    <row r="292" customFormat="false" ht="15" hidden="false" customHeight="false" outlineLevel="0" collapsed="false">
      <c r="A292" s="5" t="s">
        <v>148</v>
      </c>
      <c r="B292" s="38" t="n">
        <f aca="false">IF(COUNT(L18:L287)&lt;2,"",STDEVP(L18:L287))</f>
        <v>0.00647142847850008</v>
      </c>
    </row>
    <row r="293" customFormat="false" ht="15" hidden="false" customHeight="false" outlineLevel="0" collapsed="false">
      <c r="A293" s="4" t="s">
        <v>149</v>
      </c>
      <c r="B293" s="39" t="n">
        <f aca="false">IF(B291="","",B291*SQRT($B$6))</f>
        <v>0.102935998721705</v>
      </c>
    </row>
    <row r="294" customFormat="false" ht="15" hidden="false" customHeight="false" outlineLevel="0" collapsed="false">
      <c r="A294" s="5" t="s">
        <v>150</v>
      </c>
      <c r="B294" s="20" t="n">
        <f aca="false">IF(B292="","",B292*SQRT($B$6))</f>
        <v>0.102730742288714</v>
      </c>
    </row>
    <row r="296" customFormat="false" ht="15" hidden="false" customHeight="false" outlineLevel="0" collapsed="false">
      <c r="A296" s="3" t="s">
        <v>151</v>
      </c>
    </row>
    <row r="297" customFormat="false" ht="15" hidden="false" customHeight="false" outlineLevel="0" collapsed="false">
      <c r="A297" s="4" t="s">
        <v>152</v>
      </c>
    </row>
    <row r="298" customFormat="false" ht="15" hidden="false" customHeight="false" outlineLevel="0" collapsed="false">
      <c r="A298" s="8" t="s">
        <v>54</v>
      </c>
      <c r="B298" s="8" t="s">
        <v>67</v>
      </c>
      <c r="C298" s="8" t="s">
        <v>71</v>
      </c>
      <c r="D298" s="8" t="s">
        <v>74</v>
      </c>
      <c r="E298" s="8" t="s">
        <v>76</v>
      </c>
      <c r="F298" s="8" t="s">
        <v>79</v>
      </c>
      <c r="G298" s="8" t="s">
        <v>82</v>
      </c>
      <c r="H298" s="8" t="s">
        <v>85</v>
      </c>
      <c r="I298" s="8" t="s">
        <v>88</v>
      </c>
      <c r="J298" s="8" t="s">
        <v>91</v>
      </c>
    </row>
    <row r="299" customFormat="false" ht="15" hidden="false" customHeight="false" outlineLevel="0" collapsed="false">
      <c r="A299" s="9" t="s">
        <v>153</v>
      </c>
      <c r="B299" s="20" t="n">
        <f aca="false">IF(COUNT(N18:N287)&lt;2,"",STDEV(N18:N287)*SQRT($B$6))</f>
        <v>0.12786361141308</v>
      </c>
      <c r="C299" s="20" t="n">
        <f aca="false">IF(COUNT(O18:O287)&lt;2,"",STDEV(O18:O287)*SQRT($B$6))</f>
        <v>0.249463953408002</v>
      </c>
      <c r="D299" s="20" t="n">
        <f aca="false">IF(COUNT(P18:P287)&lt;2,"",STDEV(P18:P287)*SQRT($B$6))</f>
        <v>0.324073135990335</v>
      </c>
      <c r="E299" s="20" t="n">
        <f aca="false">IF(COUNT(Q18:Q287)&lt;2,"",STDEV(Q18:Q287)*SQRT($B$6))</f>
        <v>0.190056738478989</v>
      </c>
      <c r="F299" s="20" t="n">
        <f aca="false">IF(COUNT(R18:R287)&lt;2,"",STDEV(R18:R287)*SQRT($B$6))</f>
        <v>0.222892864414604</v>
      </c>
      <c r="G299" s="20" t="n">
        <f aca="false">IF(COUNT(S18:S287)&lt;2,"",STDEV(S18:S287)*SQRT($B$6))</f>
        <v>0.213530327120942</v>
      </c>
      <c r="H299" s="20" t="n">
        <f aca="false">IF(COUNT(T18:T287)&lt;2,"",STDEV(T18:T287)*SQRT($B$6))</f>
        <v>0.0957320500190376</v>
      </c>
      <c r="I299" s="20" t="n">
        <f aca="false">IF(COUNT(U18:U287)&lt;2,"",STDEV(U18:U287)*SQRT($B$6))</f>
        <v>0.291529593987667</v>
      </c>
      <c r="J299" s="20" t="n">
        <f aca="false">IF(COUNT(V18:V287)&lt;2,"",STDEV(V18:V287)*SQRT($B$6))</f>
        <v>0.138436971952113</v>
      </c>
    </row>
    <row r="301" customFormat="false" ht="15" hidden="false" customHeight="false" outlineLevel="0" collapsed="false">
      <c r="A301" s="4" t="s">
        <v>154</v>
      </c>
      <c r="B301" s="20" t="n">
        <f aca="false">IF(B299="","",SUMPRODUCT($B$12:$J$12,B299:J299))</f>
        <v>0.205408058727396</v>
      </c>
    </row>
    <row r="302" customFormat="false" ht="15" hidden="false" customHeight="false" outlineLevel="0" collapsed="false">
      <c r="A302" s="4" t="s">
        <v>155</v>
      </c>
      <c r="B302" s="4" t="str">
        <f aca="false">IF(OR(B293="",B301=""),"(incomplete)",IF(B293&lt;B301,"OK — diversification","CHECK — something is wrong"))</f>
        <v>OK — diversification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false" showRowColHeaders="true" showZeros="true" rightToLeft="false" tabSelected="true" showOutlineSymbols="true" defaultGridColor="true" view="normal" topLeftCell="A6" colorId="64" zoomScale="100" zoomScaleNormal="100" zoomScalePageLayoutView="100" workbookViewId="0">
      <selection pane="topLeft" activeCell="C14" activeCellId="0" sqref="C14"/>
    </sheetView>
  </sheetViews>
  <sheetFormatPr defaultColWidth="8.6679687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3" min="3" style="0" width="80"/>
  </cols>
  <sheetData>
    <row r="1" customFormat="false" ht="18" hidden="false" customHeight="true" outlineLevel="0" collapsed="false">
      <c r="A1" s="1" t="s">
        <v>156</v>
      </c>
    </row>
    <row r="2" customFormat="false" ht="15" hidden="false" customHeight="false" outlineLevel="0" collapsed="false">
      <c r="A2" s="2" t="s">
        <v>157</v>
      </c>
    </row>
    <row r="4" customFormat="false" ht="15" hidden="false" customHeight="false" outlineLevel="0" collapsed="false">
      <c r="A4" s="8" t="s">
        <v>158</v>
      </c>
      <c r="B4" s="8" t="s">
        <v>159</v>
      </c>
      <c r="C4" s="8" t="s">
        <v>160</v>
      </c>
    </row>
    <row r="5" customFormat="false" ht="79.5" hidden="false" customHeight="true" outlineLevel="0" collapsed="false">
      <c r="A5" s="9" t="s">
        <v>161</v>
      </c>
      <c r="B5" s="10" t="s">
        <v>162</v>
      </c>
      <c r="C5" s="11" t="s">
        <v>163</v>
      </c>
    </row>
    <row r="6" customFormat="false" ht="79.5" hidden="false" customHeight="true" outlineLevel="0" collapsed="false">
      <c r="A6" s="9" t="s">
        <v>164</v>
      </c>
      <c r="B6" s="10" t="s">
        <v>165</v>
      </c>
      <c r="C6" s="11" t="s">
        <v>166</v>
      </c>
    </row>
    <row r="7" customFormat="false" ht="79.5" hidden="false" customHeight="true" outlineLevel="0" collapsed="false">
      <c r="A7" s="9" t="s">
        <v>167</v>
      </c>
      <c r="B7" s="10" t="s">
        <v>168</v>
      </c>
      <c r="C7" s="11" t="s">
        <v>169</v>
      </c>
    </row>
    <row r="8" customFormat="false" ht="79.5" hidden="false" customHeight="true" outlineLevel="0" collapsed="false">
      <c r="A8" s="9" t="s">
        <v>170</v>
      </c>
      <c r="B8" s="10" t="s">
        <v>171</v>
      </c>
      <c r="C8" s="11" t="s">
        <v>172</v>
      </c>
    </row>
    <row r="10" customFormat="false" ht="18" hidden="false" customHeight="true" outlineLevel="0" collapsed="false">
      <c r="A10" s="1" t="s">
        <v>173</v>
      </c>
    </row>
    <row r="11" customFormat="false" ht="45.75" hidden="false" customHeight="true" outlineLevel="0" collapsed="false">
      <c r="A11" s="4" t="s">
        <v>174</v>
      </c>
      <c r="C11" s="40" t="s">
        <v>175</v>
      </c>
    </row>
    <row r="12" customFormat="false" ht="45.75" hidden="false" customHeight="true" outlineLevel="0" collapsed="false">
      <c r="A12" s="4" t="s">
        <v>176</v>
      </c>
      <c r="C12" s="40" t="s">
        <v>177</v>
      </c>
    </row>
    <row r="13" customFormat="false" ht="45.75" hidden="false" customHeight="true" outlineLevel="0" collapsed="false">
      <c r="A13" s="4" t="s">
        <v>178</v>
      </c>
      <c r="C13" s="40" t="s">
        <v>179</v>
      </c>
    </row>
    <row r="14" customFormat="false" ht="45.75" hidden="false" customHeight="true" outlineLevel="0" collapsed="false">
      <c r="A14" s="4" t="s">
        <v>180</v>
      </c>
      <c r="C14" s="40" t="s">
        <v>181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0"/>
    <col collapsed="false" customWidth="true" hidden="false" outlineLevel="0" max="3" min="3" style="0" width="18"/>
    <col collapsed="false" customWidth="true" hidden="false" outlineLevel="0" max="4" min="4" style="0" width="14"/>
    <col collapsed="false" customWidth="true" hidden="false" outlineLevel="0" max="5" min="5" style="0" width="8"/>
    <col collapsed="false" customWidth="true" hidden="false" outlineLevel="0" max="7" min="6" style="0" width="10"/>
    <col collapsed="false" customWidth="true" hidden="false" outlineLevel="0" max="8" min="8" style="0" width="16"/>
    <col collapsed="false" customWidth="true" hidden="false" outlineLevel="0" max="9" min="9" style="0" width="18"/>
  </cols>
  <sheetData>
    <row r="1" customFormat="false" ht="15" hidden="false" customHeight="false" outlineLevel="0" collapsed="false">
      <c r="A1" s="41" t="s">
        <v>182</v>
      </c>
    </row>
    <row r="2" customFormat="false" ht="15" hidden="false" customHeight="false" outlineLevel="0" collapsed="false">
      <c r="A2" s="42" t="s">
        <v>183</v>
      </c>
    </row>
    <row r="3" customFormat="false" ht="15" hidden="false" customHeight="false" outlineLevel="0" collapsed="false">
      <c r="A3" s="42" t="s">
        <v>184</v>
      </c>
    </row>
    <row r="4" customFormat="false" ht="15" hidden="false" customHeight="false" outlineLevel="0" collapsed="false">
      <c r="A4" s="42" t="s">
        <v>185</v>
      </c>
    </row>
    <row r="6" customFormat="false" ht="15" hidden="false" customHeight="false" outlineLevel="0" collapsed="false">
      <c r="A6" s="41" t="s">
        <v>186</v>
      </c>
    </row>
    <row r="7" customFormat="false" ht="15" hidden="false" customHeight="false" outlineLevel="0" collapsed="false">
      <c r="A7" s="43" t="s">
        <v>187</v>
      </c>
      <c r="B7" s="43" t="s">
        <v>188</v>
      </c>
      <c r="C7" s="43" t="s">
        <v>189</v>
      </c>
      <c r="D7" s="43" t="s">
        <v>190</v>
      </c>
      <c r="E7" s="43" t="s">
        <v>191</v>
      </c>
    </row>
    <row r="8" customFormat="false" ht="15" hidden="false" customHeight="false" outlineLevel="0" collapsed="false">
      <c r="A8" s="42" t="s">
        <v>192</v>
      </c>
      <c r="B8" s="42" t="s">
        <v>68</v>
      </c>
      <c r="C8" s="42" t="s">
        <v>193</v>
      </c>
      <c r="D8" s="44" t="n">
        <v>0.4</v>
      </c>
      <c r="E8" s="42" t="s">
        <v>194</v>
      </c>
    </row>
    <row r="9" customFormat="false" ht="15" hidden="false" customHeight="false" outlineLevel="0" collapsed="false">
      <c r="A9" s="42" t="s">
        <v>192</v>
      </c>
      <c r="B9" s="42" t="s">
        <v>68</v>
      </c>
      <c r="C9" s="42" t="s">
        <v>195</v>
      </c>
      <c r="D9" s="44" t="n">
        <v>0.65</v>
      </c>
      <c r="E9" s="42" t="s">
        <v>194</v>
      </c>
    </row>
    <row r="10" customFormat="false" ht="15" hidden="false" customHeight="false" outlineLevel="0" collapsed="false">
      <c r="A10" s="42" t="s">
        <v>196</v>
      </c>
      <c r="B10" s="42" t="s">
        <v>86</v>
      </c>
      <c r="C10" s="42" t="s">
        <v>193</v>
      </c>
      <c r="D10" s="44" t="n">
        <v>0.08</v>
      </c>
      <c r="E10" s="42" t="s">
        <v>194</v>
      </c>
    </row>
    <row r="11" customFormat="false" ht="15" hidden="false" customHeight="false" outlineLevel="0" collapsed="false">
      <c r="A11" s="42" t="s">
        <v>196</v>
      </c>
      <c r="B11" s="42" t="s">
        <v>86</v>
      </c>
      <c r="C11" s="42" t="s">
        <v>195</v>
      </c>
      <c r="D11" s="44" t="n">
        <v>0.3</v>
      </c>
      <c r="E11" s="42" t="s">
        <v>194</v>
      </c>
    </row>
    <row r="12" customFormat="false" ht="15" hidden="false" customHeight="false" outlineLevel="0" collapsed="false">
      <c r="A12" s="42" t="s">
        <v>197</v>
      </c>
      <c r="B12" s="42" t="s">
        <v>89</v>
      </c>
      <c r="C12" s="42" t="s">
        <v>195</v>
      </c>
      <c r="D12" s="44" t="n">
        <v>0.15</v>
      </c>
      <c r="E12" s="42" t="s">
        <v>194</v>
      </c>
    </row>
    <row r="13" customFormat="false" ht="15" hidden="false" customHeight="false" outlineLevel="0" collapsed="false">
      <c r="A13" s="42" t="s">
        <v>198</v>
      </c>
      <c r="B13" s="42" t="s">
        <v>92</v>
      </c>
      <c r="C13" s="42" t="s">
        <v>195</v>
      </c>
      <c r="D13" s="44" t="n">
        <v>0.15</v>
      </c>
      <c r="E13" s="42" t="s">
        <v>194</v>
      </c>
    </row>
    <row r="14" customFormat="false" ht="15" hidden="false" customHeight="false" outlineLevel="0" collapsed="false">
      <c r="A14" s="42" t="s">
        <v>199</v>
      </c>
      <c r="B14" s="42" t="s">
        <v>95</v>
      </c>
      <c r="C14" s="42" t="s">
        <v>193</v>
      </c>
      <c r="D14" s="44" t="n">
        <v>0.03</v>
      </c>
      <c r="E14" s="42" t="s">
        <v>194</v>
      </c>
    </row>
    <row r="15" customFormat="false" ht="15" hidden="false" customHeight="false" outlineLevel="0" collapsed="false">
      <c r="A15" s="42" t="s">
        <v>200</v>
      </c>
      <c r="B15" s="42" t="s">
        <v>201</v>
      </c>
      <c r="C15" s="42" t="s">
        <v>195</v>
      </c>
      <c r="D15" s="44" t="n">
        <v>0.12</v>
      </c>
      <c r="E15" s="42" t="s">
        <v>194</v>
      </c>
    </row>
    <row r="16" customFormat="false" ht="15" hidden="false" customHeight="false" outlineLevel="0" collapsed="false">
      <c r="A16" s="42" t="s">
        <v>202</v>
      </c>
      <c r="B16" s="42" t="s">
        <v>203</v>
      </c>
      <c r="C16" s="42" t="s">
        <v>195</v>
      </c>
      <c r="D16" s="44" t="n">
        <v>0.1</v>
      </c>
      <c r="E16" s="42" t="s">
        <v>194</v>
      </c>
    </row>
    <row r="17" customFormat="false" ht="15" hidden="false" customHeight="false" outlineLevel="0" collapsed="false">
      <c r="A17" s="42" t="s">
        <v>204</v>
      </c>
      <c r="B17" s="42" t="s">
        <v>205</v>
      </c>
      <c r="C17" s="42" t="s">
        <v>195</v>
      </c>
      <c r="D17" s="44" t="n">
        <v>0.25</v>
      </c>
      <c r="E17" s="42" t="s">
        <v>194</v>
      </c>
    </row>
    <row r="18" customFormat="false" ht="15" hidden="false" customHeight="false" outlineLevel="0" collapsed="false">
      <c r="A18" s="42" t="s">
        <v>206</v>
      </c>
      <c r="D18" s="45" t="n">
        <f aca="false">Positions!$H$16</f>
        <v>410200.5</v>
      </c>
      <c r="E18" s="42" t="s">
        <v>207</v>
      </c>
    </row>
    <row r="20" customFormat="false" ht="15" hidden="false" customHeight="false" outlineLevel="0" collapsed="false">
      <c r="A20" s="41" t="s">
        <v>208</v>
      </c>
    </row>
    <row r="21" customFormat="false" ht="15" hidden="false" customHeight="false" outlineLevel="0" collapsed="false">
      <c r="A21" s="42" t="s">
        <v>209</v>
      </c>
    </row>
    <row r="22" customFormat="false" ht="15" hidden="false" customHeight="false" outlineLevel="0" collapsed="false">
      <c r="A22" s="43" t="s">
        <v>187</v>
      </c>
      <c r="B22" s="43" t="s">
        <v>210</v>
      </c>
      <c r="C22" s="43" t="s">
        <v>61</v>
      </c>
      <c r="D22" s="43" t="s">
        <v>211</v>
      </c>
      <c r="E22" s="43" t="s">
        <v>189</v>
      </c>
      <c r="F22" s="43" t="s">
        <v>190</v>
      </c>
      <c r="G22" s="43" t="s">
        <v>212</v>
      </c>
      <c r="H22" s="43" t="s">
        <v>213</v>
      </c>
      <c r="I22" s="43" t="s">
        <v>214</v>
      </c>
    </row>
    <row r="23" customFormat="false" ht="15" hidden="false" customHeight="false" outlineLevel="0" collapsed="false">
      <c r="A23" s="42" t="s">
        <v>192</v>
      </c>
      <c r="B23" s="42" t="s">
        <v>68</v>
      </c>
      <c r="C23" s="45" t="n">
        <f aca="false">'Alloc-AssetClass'!E5</f>
        <v>284713.5</v>
      </c>
      <c r="D23" s="46" t="n">
        <f aca="false">IF(C23="","",C23/$D$18)</f>
        <v>0.694083746850626</v>
      </c>
      <c r="E23" s="42" t="s">
        <v>193</v>
      </c>
      <c r="F23" s="46" t="n">
        <f aca="false">$D$8</f>
        <v>0.4</v>
      </c>
      <c r="G23" s="42" t="str">
        <f aca="false">IF(D23="","",IF(D23&lt;F23,"breach","ok"))</f>
        <v>ok</v>
      </c>
      <c r="H23" s="47" t="n">
        <f aca="false">IF(C23="","",F23*$D$18-C23)</f>
        <v>-120633.3</v>
      </c>
      <c r="I23" s="46" t="n">
        <f aca="false">IF(H23="","",H23/$D$18)</f>
        <v>-0.294083746850625</v>
      </c>
    </row>
    <row r="24" customFormat="false" ht="15" hidden="false" customHeight="false" outlineLevel="0" collapsed="false">
      <c r="A24" s="42" t="s">
        <v>192</v>
      </c>
      <c r="B24" s="42" t="s">
        <v>68</v>
      </c>
      <c r="C24" s="45" t="n">
        <f aca="false">'Alloc-AssetClass'!E5</f>
        <v>284713.5</v>
      </c>
      <c r="D24" s="46" t="n">
        <f aca="false">IF(C24="","",C24/$D$18)</f>
        <v>0.694083746850626</v>
      </c>
      <c r="E24" s="42" t="s">
        <v>195</v>
      </c>
      <c r="F24" s="46" t="n">
        <f aca="false">$D$9</f>
        <v>0.65</v>
      </c>
      <c r="G24" s="42" t="str">
        <f aca="false">IF(D24="","",IF(D24&gt;F24,"breach","ok"))</f>
        <v>breach</v>
      </c>
      <c r="H24" s="47" t="n">
        <f aca="false">IF(C24="","",C24-F24*$D$18)</f>
        <v>18083.175</v>
      </c>
      <c r="I24" s="46" t="n">
        <f aca="false">IF(H24="","",H24/$D$18)</f>
        <v>0.0440837468506255</v>
      </c>
    </row>
    <row r="25" customFormat="false" ht="15" hidden="false" customHeight="false" outlineLevel="0" collapsed="false">
      <c r="A25" s="42" t="s">
        <v>196</v>
      </c>
      <c r="B25" s="42" t="s">
        <v>86</v>
      </c>
      <c r="C25" s="45" t="n">
        <f aca="false">'Alloc-AssetClass'!E6</f>
        <v>40975</v>
      </c>
      <c r="D25" s="46" t="n">
        <f aca="false">IF(C25="","",C25/$D$18)</f>
        <v>0.0998901756580014</v>
      </c>
      <c r="E25" s="42" t="s">
        <v>193</v>
      </c>
      <c r="F25" s="46" t="n">
        <f aca="false">$D$10</f>
        <v>0.08</v>
      </c>
      <c r="G25" s="42" t="str">
        <f aca="false">IF(D25="","",IF(D25&lt;F25,"breach","ok"))</f>
        <v>ok</v>
      </c>
      <c r="H25" s="47" t="n">
        <f aca="false">IF(C25="","",F25*$D$18-C25)</f>
        <v>-8158.96</v>
      </c>
      <c r="I25" s="46" t="n">
        <f aca="false">IF(H25="","",H25/$D$18)</f>
        <v>-0.0198901756580014</v>
      </c>
    </row>
    <row r="26" customFormat="false" ht="15" hidden="false" customHeight="false" outlineLevel="0" collapsed="false">
      <c r="A26" s="42" t="s">
        <v>196</v>
      </c>
      <c r="B26" s="42" t="s">
        <v>86</v>
      </c>
      <c r="C26" s="45" t="n">
        <f aca="false">'Alloc-AssetClass'!E6</f>
        <v>40975</v>
      </c>
      <c r="D26" s="46" t="n">
        <f aca="false">IF(C26="","",C26/$D$18)</f>
        <v>0.0998901756580014</v>
      </c>
      <c r="E26" s="42" t="s">
        <v>195</v>
      </c>
      <c r="F26" s="46" t="n">
        <f aca="false">$D$11</f>
        <v>0.3</v>
      </c>
      <c r="G26" s="42" t="str">
        <f aca="false">IF(D26="","",IF(D26&gt;F26,"breach","ok"))</f>
        <v>ok</v>
      </c>
      <c r="H26" s="47" t="n">
        <f aca="false">IF(C26="","",C26-F26*$D$18)</f>
        <v>-82085.15</v>
      </c>
      <c r="I26" s="46" t="n">
        <f aca="false">IF(H26="","",H26/$D$18)</f>
        <v>-0.200109824341999</v>
      </c>
    </row>
    <row r="27" customFormat="false" ht="15" hidden="false" customHeight="false" outlineLevel="0" collapsed="false">
      <c r="A27" s="42" t="s">
        <v>197</v>
      </c>
      <c r="B27" s="42" t="s">
        <v>89</v>
      </c>
      <c r="C27" s="45" t="n">
        <f aca="false">'Alloc-AssetClass'!E8</f>
        <v>40278</v>
      </c>
      <c r="D27" s="46" t="n">
        <f aca="false">IF(C27="","",C27/$D$18)</f>
        <v>0.0981910065931173</v>
      </c>
      <c r="E27" s="42" t="s">
        <v>195</v>
      </c>
      <c r="F27" s="46" t="n">
        <f aca="false">$D$12</f>
        <v>0.15</v>
      </c>
      <c r="G27" s="42" t="str">
        <f aca="false">IF(D27="","",IF(D27&gt;F27,"breach","ok"))</f>
        <v>ok</v>
      </c>
      <c r="H27" s="47" t="n">
        <f aca="false">IF(C27="","",C27-F27*$D$18)</f>
        <v>-21252.075</v>
      </c>
      <c r="I27" s="46" t="n">
        <f aca="false">IF(H27="","",H27/$D$18)</f>
        <v>-0.0518089934068827</v>
      </c>
    </row>
    <row r="28" customFormat="false" ht="15" hidden="false" customHeight="false" outlineLevel="0" collapsed="false">
      <c r="A28" s="42" t="s">
        <v>198</v>
      </c>
      <c r="B28" s="42" t="s">
        <v>92</v>
      </c>
      <c r="C28" s="45" t="n">
        <f aca="false">'Alloc-AssetClass'!E7</f>
        <v>28734</v>
      </c>
      <c r="D28" s="46" t="n">
        <f aca="false">IF(C28="","",C28/$D$18)</f>
        <v>0.0700486713204884</v>
      </c>
      <c r="E28" s="42" t="s">
        <v>195</v>
      </c>
      <c r="F28" s="46" t="n">
        <f aca="false">$D$13</f>
        <v>0.15</v>
      </c>
      <c r="G28" s="42" t="str">
        <f aca="false">IF(D28="","",IF(D28&gt;F28,"breach","ok"))</f>
        <v>ok</v>
      </c>
      <c r="H28" s="47" t="n">
        <f aca="false">IF(C28="","",C28-F28*$D$18)</f>
        <v>-32796.075</v>
      </c>
      <c r="I28" s="46" t="n">
        <f aca="false">IF(H28="","",H28/$D$18)</f>
        <v>-0.0799513286795116</v>
      </c>
    </row>
    <row r="29" customFormat="false" ht="15" hidden="false" customHeight="false" outlineLevel="0" collapsed="false">
      <c r="A29" s="42" t="s">
        <v>199</v>
      </c>
      <c r="B29" s="42" t="s">
        <v>95</v>
      </c>
      <c r="C29" s="45" t="n">
        <f aca="false">'Alloc-AssetClass'!E9</f>
        <v>15500</v>
      </c>
      <c r="D29" s="46" t="n">
        <f aca="false">IF(C29="","",C29/$D$18)</f>
        <v>0.0377863995777675</v>
      </c>
      <c r="E29" s="42" t="s">
        <v>193</v>
      </c>
      <c r="F29" s="46" t="n">
        <f aca="false">$D$14</f>
        <v>0.03</v>
      </c>
      <c r="G29" s="42" t="str">
        <f aca="false">IF(D29="","",IF(D29&lt;F29,"breach","ok"))</f>
        <v>ok</v>
      </c>
      <c r="H29" s="47" t="n">
        <f aca="false">IF(C29="","",F29*$D$18-C29)</f>
        <v>-3193.985</v>
      </c>
      <c r="I29" s="46" t="n">
        <f aca="false">IF(H29="","",H29/$D$18)</f>
        <v>-0.00778639957776746</v>
      </c>
    </row>
    <row r="31" customFormat="false" ht="15" hidden="false" customHeight="false" outlineLevel="0" collapsed="false">
      <c r="A31" s="41" t="s">
        <v>215</v>
      </c>
    </row>
    <row r="32" customFormat="false" ht="15" hidden="false" customHeight="false" outlineLevel="0" collapsed="false">
      <c r="A32" s="42" t="s">
        <v>216</v>
      </c>
    </row>
    <row r="33" customFormat="false" ht="15" hidden="false" customHeight="false" outlineLevel="0" collapsed="false">
      <c r="A33" s="43" t="s">
        <v>187</v>
      </c>
      <c r="B33" s="43" t="s">
        <v>210</v>
      </c>
      <c r="C33" s="43" t="s">
        <v>61</v>
      </c>
      <c r="D33" s="43" t="s">
        <v>211</v>
      </c>
      <c r="E33" s="43" t="s">
        <v>189</v>
      </c>
      <c r="F33" s="43" t="s">
        <v>190</v>
      </c>
      <c r="G33" s="43" t="s">
        <v>212</v>
      </c>
      <c r="H33" s="43" t="s">
        <v>213</v>
      </c>
      <c r="I33" s="43" t="s">
        <v>214</v>
      </c>
    </row>
    <row r="34" customFormat="false" ht="15" hidden="false" customHeight="false" outlineLevel="0" collapsed="false">
      <c r="A34" s="42" t="s">
        <v>200</v>
      </c>
      <c r="B34" s="42" t="s">
        <v>67</v>
      </c>
      <c r="C34" s="45" t="n">
        <f aca="false">Positions!H5</f>
        <v>76516</v>
      </c>
      <c r="D34" s="46" t="n">
        <f aca="false">IF(C34="","",C34/$D$18)</f>
        <v>0.186533170973707</v>
      </c>
      <c r="E34" s="42" t="s">
        <v>195</v>
      </c>
      <c r="F34" s="46" t="n">
        <f aca="false">$D$15</f>
        <v>0.12</v>
      </c>
      <c r="G34" s="42" t="str">
        <f aca="false">IF(D34="","",IF(D34&gt;F34,"breach","ok"))</f>
        <v>breach</v>
      </c>
      <c r="H34" s="47" t="n">
        <f aca="false">IF(C34="","",C34-F34*$D$18)</f>
        <v>27291.94</v>
      </c>
      <c r="I34" s="46" t="n">
        <f aca="false">IF(H34="","",H34/$D$18)</f>
        <v>0.0665331709737068</v>
      </c>
    </row>
    <row r="35" customFormat="false" ht="15" hidden="false" customHeight="false" outlineLevel="0" collapsed="false">
      <c r="A35" s="42" t="s">
        <v>200</v>
      </c>
      <c r="B35" s="42" t="s">
        <v>71</v>
      </c>
      <c r="C35" s="45" t="n">
        <f aca="false">Positions!H6</f>
        <v>64992</v>
      </c>
      <c r="D35" s="46" t="n">
        <f aca="false">IF(C35="","",C35/$D$18)</f>
        <v>0.158439592345694</v>
      </c>
      <c r="E35" s="42" t="s">
        <v>195</v>
      </c>
      <c r="F35" s="46" t="n">
        <f aca="false">$D$15</f>
        <v>0.12</v>
      </c>
      <c r="G35" s="42" t="str">
        <f aca="false">IF(D35="","",IF(D35&gt;F35,"breach","ok"))</f>
        <v>breach</v>
      </c>
      <c r="H35" s="47" t="n">
        <f aca="false">IF(C35="","",C35-F35*$D$18)</f>
        <v>15767.94</v>
      </c>
      <c r="I35" s="46" t="n">
        <f aca="false">IF(H35="","",H35/$D$18)</f>
        <v>0.0384395923456944</v>
      </c>
    </row>
    <row r="36" customFormat="false" ht="15" hidden="false" customHeight="false" outlineLevel="0" collapsed="false">
      <c r="A36" s="42" t="s">
        <v>200</v>
      </c>
      <c r="B36" s="42" t="s">
        <v>74</v>
      </c>
      <c r="C36" s="45" t="n">
        <f aca="false">Positions!H7</f>
        <v>49682</v>
      </c>
      <c r="D36" s="46" t="n">
        <f aca="false">IF(C36="","",C36/$D$18)</f>
        <v>0.121116380891783</v>
      </c>
      <c r="E36" s="42" t="s">
        <v>195</v>
      </c>
      <c r="F36" s="46" t="n">
        <f aca="false">$D$15</f>
        <v>0.12</v>
      </c>
      <c r="G36" s="42" t="str">
        <f aca="false">IF(D36="","",IF(D36&gt;F36,"breach","ok"))</f>
        <v>breach</v>
      </c>
      <c r="H36" s="47" t="n">
        <f aca="false">IF(C36="","",C36-F36*$D$18)</f>
        <v>457.940000000002</v>
      </c>
      <c r="I36" s="46" t="n">
        <f aca="false">IF(H36="","",H36/$D$18)</f>
        <v>0.00111638089178341</v>
      </c>
    </row>
    <row r="37" customFormat="false" ht="15" hidden="false" customHeight="false" outlineLevel="0" collapsed="false">
      <c r="A37" s="42" t="s">
        <v>200</v>
      </c>
      <c r="B37" s="42" t="s">
        <v>76</v>
      </c>
      <c r="C37" s="45" t="n">
        <f aca="false">Positions!H8</f>
        <v>41281.5</v>
      </c>
      <c r="D37" s="46" t="n">
        <f aca="false">IF(C37="","",C37/$D$18)</f>
        <v>0.100637371236749</v>
      </c>
      <c r="E37" s="42" t="s">
        <v>195</v>
      </c>
      <c r="F37" s="46" t="n">
        <f aca="false">$D$15</f>
        <v>0.12</v>
      </c>
      <c r="G37" s="42" t="str">
        <f aca="false">IF(D37="","",IF(D37&gt;F37,"breach","ok"))</f>
        <v>ok</v>
      </c>
      <c r="H37" s="47" t="n">
        <f aca="false">IF(C37="","",C37-F37*$D$18)</f>
        <v>-7942.56</v>
      </c>
      <c r="I37" s="46" t="n">
        <f aca="false">IF(H37="","",H37/$D$18)</f>
        <v>-0.0193626287632511</v>
      </c>
    </row>
    <row r="38" customFormat="false" ht="15" hidden="false" customHeight="false" outlineLevel="0" collapsed="false">
      <c r="A38" s="42" t="s">
        <v>200</v>
      </c>
      <c r="B38" s="42" t="s">
        <v>79</v>
      </c>
      <c r="C38" s="45" t="n">
        <f aca="false">Positions!H9</f>
        <v>35622</v>
      </c>
      <c r="D38" s="46" t="n">
        <f aca="false">IF(C38="","",C38/$D$18)</f>
        <v>0.0868404597264021</v>
      </c>
      <c r="E38" s="42" t="s">
        <v>195</v>
      </c>
      <c r="F38" s="46" t="n">
        <f aca="false">$D$15</f>
        <v>0.12</v>
      </c>
      <c r="G38" s="42" t="str">
        <f aca="false">IF(D38="","",IF(D38&gt;F38,"breach","ok"))</f>
        <v>ok</v>
      </c>
      <c r="H38" s="47" t="n">
        <f aca="false">IF(C38="","",C38-F38*$D$18)</f>
        <v>-13602.06</v>
      </c>
      <c r="I38" s="46" t="n">
        <f aca="false">IF(H38="","",H38/$D$18)</f>
        <v>-0.0331595402735979</v>
      </c>
    </row>
    <row r="39" customFormat="false" ht="15" hidden="false" customHeight="false" outlineLevel="0" collapsed="false">
      <c r="A39" s="42" t="s">
        <v>200</v>
      </c>
      <c r="B39" s="42" t="s">
        <v>82</v>
      </c>
      <c r="C39" s="45" t="n">
        <f aca="false">Positions!H10</f>
        <v>16620</v>
      </c>
      <c r="D39" s="46" t="n">
        <f aca="false">IF(C39="","",C39/$D$18)</f>
        <v>0.04051677167629</v>
      </c>
      <c r="E39" s="42" t="s">
        <v>195</v>
      </c>
      <c r="F39" s="46" t="n">
        <f aca="false">$D$15</f>
        <v>0.12</v>
      </c>
      <c r="G39" s="42" t="str">
        <f aca="false">IF(D39="","",IF(D39&gt;F39,"breach","ok"))</f>
        <v>ok</v>
      </c>
      <c r="H39" s="47" t="n">
        <f aca="false">IF(C39="","",C39-F39*$D$18)</f>
        <v>-32604.06</v>
      </c>
      <c r="I39" s="46" t="n">
        <f aca="false">IF(H39="","",H39/$D$18)</f>
        <v>-0.07948322832371</v>
      </c>
    </row>
    <row r="40" customFormat="false" ht="15" hidden="false" customHeight="false" outlineLevel="0" collapsed="false">
      <c r="A40" s="42" t="s">
        <v>200</v>
      </c>
      <c r="B40" s="42" t="s">
        <v>85</v>
      </c>
      <c r="C40" s="45" t="n">
        <f aca="false">Positions!H11</f>
        <v>40975</v>
      </c>
      <c r="D40" s="46" t="n">
        <f aca="false">IF(C40="","",C40/$D$18)</f>
        <v>0.0998901756580014</v>
      </c>
      <c r="E40" s="42" t="s">
        <v>195</v>
      </c>
      <c r="F40" s="46" t="n">
        <f aca="false">$D$15</f>
        <v>0.12</v>
      </c>
      <c r="G40" s="42" t="str">
        <f aca="false">IF(D40="","",IF(D40&gt;F40,"breach","ok"))</f>
        <v>ok</v>
      </c>
      <c r="H40" s="47" t="n">
        <f aca="false">IF(C40="","",C40-F40*$D$18)</f>
        <v>-8249.06</v>
      </c>
      <c r="I40" s="46" t="n">
        <f aca="false">IF(H40="","",H40/$D$18)</f>
        <v>-0.0201098243419986</v>
      </c>
    </row>
    <row r="41" customFormat="false" ht="15" hidden="false" customHeight="false" outlineLevel="0" collapsed="false">
      <c r="A41" s="42" t="s">
        <v>200</v>
      </c>
      <c r="B41" s="42" t="s">
        <v>88</v>
      </c>
      <c r="C41" s="45" t="n">
        <f aca="false">Positions!H12</f>
        <v>40278</v>
      </c>
      <c r="D41" s="46" t="n">
        <f aca="false">IF(C41="","",C41/$D$18)</f>
        <v>0.0981910065931173</v>
      </c>
      <c r="E41" s="42" t="s">
        <v>195</v>
      </c>
      <c r="F41" s="46" t="n">
        <f aca="false">$D$15</f>
        <v>0.12</v>
      </c>
      <c r="G41" s="42" t="str">
        <f aca="false">IF(D41="","",IF(D41&gt;F41,"breach","ok"))</f>
        <v>ok</v>
      </c>
      <c r="H41" s="47" t="n">
        <f aca="false">IF(C41="","",C41-F41*$D$18)</f>
        <v>-8946.06</v>
      </c>
      <c r="I41" s="46" t="n">
        <f aca="false">IF(H41="","",H41/$D$18)</f>
        <v>-0.0218089934068827</v>
      </c>
    </row>
    <row r="42" customFormat="false" ht="15" hidden="false" customHeight="false" outlineLevel="0" collapsed="false">
      <c r="A42" s="42" t="s">
        <v>200</v>
      </c>
      <c r="B42" s="42" t="s">
        <v>91</v>
      </c>
      <c r="C42" s="45" t="n">
        <f aca="false">Positions!H13</f>
        <v>28734</v>
      </c>
      <c r="D42" s="46" t="n">
        <f aca="false">IF(C42="","",C42/$D$18)</f>
        <v>0.0700486713204884</v>
      </c>
      <c r="E42" s="42" t="s">
        <v>195</v>
      </c>
      <c r="F42" s="46" t="n">
        <f aca="false">$D$15</f>
        <v>0.12</v>
      </c>
      <c r="G42" s="42" t="str">
        <f aca="false">IF(D42="","",IF(D42&gt;F42,"breach","ok"))</f>
        <v>ok</v>
      </c>
      <c r="H42" s="47" t="n">
        <f aca="false">IF(C42="","",C42-F42*$D$18)</f>
        <v>-20490.06</v>
      </c>
      <c r="I42" s="46" t="n">
        <f aca="false">IF(H42="","",H42/$D$18)</f>
        <v>-0.0499513286795116</v>
      </c>
    </row>
    <row r="44" customFormat="false" ht="15" hidden="false" customHeight="false" outlineLevel="0" collapsed="false">
      <c r="A44" s="41" t="s">
        <v>217</v>
      </c>
    </row>
    <row r="45" customFormat="false" ht="15" hidden="false" customHeight="false" outlineLevel="0" collapsed="false">
      <c r="A45" s="43" t="s">
        <v>54</v>
      </c>
      <c r="B45" s="43" t="s">
        <v>218</v>
      </c>
    </row>
    <row r="46" customFormat="false" ht="15" hidden="false" customHeight="false" outlineLevel="0" collapsed="false">
      <c r="A46" s="42" t="s">
        <v>67</v>
      </c>
      <c r="B46" s="48" t="s">
        <v>219</v>
      </c>
    </row>
    <row r="47" customFormat="false" ht="15" hidden="false" customHeight="false" outlineLevel="0" collapsed="false">
      <c r="A47" s="42" t="s">
        <v>71</v>
      </c>
      <c r="B47" s="48" t="s">
        <v>220</v>
      </c>
    </row>
    <row r="48" customFormat="false" ht="15" hidden="false" customHeight="false" outlineLevel="0" collapsed="false">
      <c r="A48" s="42" t="s">
        <v>74</v>
      </c>
      <c r="B48" s="48" t="s">
        <v>220</v>
      </c>
    </row>
    <row r="49" customFormat="false" ht="15" hidden="false" customHeight="false" outlineLevel="0" collapsed="false">
      <c r="A49" s="42" t="s">
        <v>76</v>
      </c>
      <c r="B49" s="48" t="s">
        <v>220</v>
      </c>
    </row>
    <row r="50" customFormat="false" ht="15" hidden="false" customHeight="false" outlineLevel="0" collapsed="false">
      <c r="A50" s="42" t="s">
        <v>79</v>
      </c>
      <c r="B50" s="48" t="s">
        <v>220</v>
      </c>
    </row>
    <row r="51" customFormat="false" ht="15" hidden="false" customHeight="false" outlineLevel="0" collapsed="false">
      <c r="A51" s="42" t="s">
        <v>82</v>
      </c>
      <c r="B51" s="48" t="s">
        <v>220</v>
      </c>
    </row>
    <row r="52" customFormat="false" ht="15" hidden="false" customHeight="false" outlineLevel="0" collapsed="false">
      <c r="A52" s="42" t="s">
        <v>85</v>
      </c>
      <c r="B52" s="48" t="s">
        <v>219</v>
      </c>
    </row>
    <row r="53" customFormat="false" ht="15" hidden="false" customHeight="false" outlineLevel="0" collapsed="false">
      <c r="A53" s="42" t="s">
        <v>88</v>
      </c>
      <c r="B53" s="48" t="s">
        <v>219</v>
      </c>
    </row>
    <row r="54" customFormat="false" ht="15" hidden="false" customHeight="false" outlineLevel="0" collapsed="false">
      <c r="A54" s="42" t="s">
        <v>91</v>
      </c>
      <c r="B54" s="48" t="s">
        <v>219</v>
      </c>
    </row>
    <row r="56" customFormat="false" ht="15" hidden="false" customHeight="false" outlineLevel="0" collapsed="false">
      <c r="A56" s="41" t="s">
        <v>221</v>
      </c>
    </row>
    <row r="57" customFormat="false" ht="15" hidden="false" customHeight="false" outlineLevel="0" collapsed="false">
      <c r="A57" s="42" t="s">
        <v>222</v>
      </c>
    </row>
    <row r="58" customFormat="false" ht="15" hidden="false" customHeight="false" outlineLevel="0" collapsed="false">
      <c r="A58" s="43" t="s">
        <v>187</v>
      </c>
      <c r="B58" s="43" t="s">
        <v>210</v>
      </c>
      <c r="C58" s="43" t="s">
        <v>61</v>
      </c>
      <c r="D58" s="43" t="s">
        <v>211</v>
      </c>
      <c r="E58" s="43" t="s">
        <v>189</v>
      </c>
      <c r="F58" s="43" t="s">
        <v>190</v>
      </c>
      <c r="G58" s="43" t="s">
        <v>212</v>
      </c>
      <c r="H58" s="43" t="s">
        <v>213</v>
      </c>
      <c r="I58" s="43" t="s">
        <v>214</v>
      </c>
    </row>
    <row r="59" customFormat="false" ht="15" hidden="false" customHeight="false" outlineLevel="0" collapsed="false">
      <c r="A59" s="42" t="s">
        <v>202</v>
      </c>
      <c r="B59" s="42" t="s">
        <v>67</v>
      </c>
      <c r="C59" s="45" t="n">
        <f aca="false">Positions!H5</f>
        <v>76516</v>
      </c>
      <c r="D59" s="46" t="n">
        <f aca="false">IF(C59="","",C59/$D$18)</f>
        <v>0.186533170973707</v>
      </c>
      <c r="E59" s="42" t="s">
        <v>195</v>
      </c>
      <c r="F59" s="46" t="n">
        <f aca="false">$D$16</f>
        <v>0.1</v>
      </c>
      <c r="G59" s="42" t="str">
        <f aca="false">IF($B$46="fund","exempt",IF(D59="","",IF(D59&gt;F59,"breach","ok")))</f>
        <v>exempt</v>
      </c>
      <c r="H59" s="47" t="str">
        <f aca="false">IF($B$46="fund","",IF(C59="","",C59-F59*$D$18))</f>
        <v/>
      </c>
      <c r="I59" s="46" t="str">
        <f aca="false">IF(H59="","",H59/$D$18)</f>
        <v/>
      </c>
    </row>
    <row r="60" customFormat="false" ht="15" hidden="false" customHeight="false" outlineLevel="0" collapsed="false">
      <c r="A60" s="42" t="s">
        <v>202</v>
      </c>
      <c r="B60" s="42" t="s">
        <v>71</v>
      </c>
      <c r="C60" s="45" t="n">
        <f aca="false">Positions!H6</f>
        <v>64992</v>
      </c>
      <c r="D60" s="46" t="n">
        <f aca="false">IF(C60="","",C60/$D$18)</f>
        <v>0.158439592345694</v>
      </c>
      <c r="E60" s="42" t="s">
        <v>195</v>
      </c>
      <c r="F60" s="46" t="n">
        <f aca="false">$D$16</f>
        <v>0.1</v>
      </c>
      <c r="G60" s="42" t="str">
        <f aca="false">IF($B$47="fund","exempt",IF(D60="","",IF(D60&gt;F60,"breach","ok")))</f>
        <v>breach</v>
      </c>
      <c r="H60" s="47" t="n">
        <f aca="false">IF($B$47="fund","",IF(C60="","",C60-F60*$D$18))</f>
        <v>23971.95</v>
      </c>
      <c r="I60" s="46" t="n">
        <f aca="false">IF(H60="","",H60/$D$18)</f>
        <v>0.0584395923456943</v>
      </c>
    </row>
    <row r="61" customFormat="false" ht="15" hidden="false" customHeight="false" outlineLevel="0" collapsed="false">
      <c r="A61" s="42" t="s">
        <v>202</v>
      </c>
      <c r="B61" s="42" t="s">
        <v>74</v>
      </c>
      <c r="C61" s="45" t="n">
        <f aca="false">Positions!H7</f>
        <v>49682</v>
      </c>
      <c r="D61" s="46" t="n">
        <f aca="false">IF(C61="","",C61/$D$18)</f>
        <v>0.121116380891783</v>
      </c>
      <c r="E61" s="42" t="s">
        <v>195</v>
      </c>
      <c r="F61" s="46" t="n">
        <f aca="false">$D$16</f>
        <v>0.1</v>
      </c>
      <c r="G61" s="42" t="str">
        <f aca="false">IF($B$48="fund","exempt",IF(D61="","",IF(D61&gt;F61,"breach","ok")))</f>
        <v>breach</v>
      </c>
      <c r="H61" s="47" t="n">
        <f aca="false">IF($B$48="fund","",IF(C61="","",C61-F61*$D$18))</f>
        <v>8661.95</v>
      </c>
      <c r="I61" s="46" t="n">
        <f aca="false">IF(H61="","",H61/$D$18)</f>
        <v>0.0211163808917834</v>
      </c>
    </row>
    <row r="62" customFormat="false" ht="15" hidden="false" customHeight="false" outlineLevel="0" collapsed="false">
      <c r="A62" s="42" t="s">
        <v>202</v>
      </c>
      <c r="B62" s="42" t="s">
        <v>76</v>
      </c>
      <c r="C62" s="45" t="n">
        <f aca="false">Positions!H8</f>
        <v>41281.5</v>
      </c>
      <c r="D62" s="46" t="n">
        <f aca="false">IF(C62="","",C62/$D$18)</f>
        <v>0.100637371236749</v>
      </c>
      <c r="E62" s="42" t="s">
        <v>195</v>
      </c>
      <c r="F62" s="46" t="n">
        <f aca="false">$D$16</f>
        <v>0.1</v>
      </c>
      <c r="G62" s="42" t="str">
        <f aca="false">IF($B$49="fund","exempt",IF(D62="","",IF(D62&gt;F62,"breach","ok")))</f>
        <v>breach</v>
      </c>
      <c r="H62" s="47" t="n">
        <f aca="false">IF($B$49="fund","",IF(C62="","",C62-F62*$D$18))</f>
        <v>261.449999999997</v>
      </c>
      <c r="I62" s="46" t="n">
        <f aca="false">IF(H62="","",H62/$D$18)</f>
        <v>0.000637371236748851</v>
      </c>
    </row>
    <row r="63" customFormat="false" ht="15" hidden="false" customHeight="false" outlineLevel="0" collapsed="false">
      <c r="A63" s="42" t="s">
        <v>202</v>
      </c>
      <c r="B63" s="42" t="s">
        <v>79</v>
      </c>
      <c r="C63" s="45" t="n">
        <f aca="false">Positions!H9</f>
        <v>35622</v>
      </c>
      <c r="D63" s="46" t="n">
        <f aca="false">IF(C63="","",C63/$D$18)</f>
        <v>0.0868404597264021</v>
      </c>
      <c r="E63" s="42" t="s">
        <v>195</v>
      </c>
      <c r="F63" s="46" t="n">
        <f aca="false">$D$16</f>
        <v>0.1</v>
      </c>
      <c r="G63" s="42" t="str">
        <f aca="false">IF($B$50="fund","exempt",IF(D63="","",IF(D63&gt;F63,"breach","ok")))</f>
        <v>ok</v>
      </c>
      <c r="H63" s="47" t="n">
        <f aca="false">IF($B$50="fund","",IF(C63="","",C63-F63*$D$18))</f>
        <v>-5398.05</v>
      </c>
      <c r="I63" s="46" t="n">
        <f aca="false">IF(H63="","",H63/$D$18)</f>
        <v>-0.0131595402735979</v>
      </c>
    </row>
    <row r="64" customFormat="false" ht="15" hidden="false" customHeight="false" outlineLevel="0" collapsed="false">
      <c r="A64" s="42" t="s">
        <v>202</v>
      </c>
      <c r="B64" s="42" t="s">
        <v>82</v>
      </c>
      <c r="C64" s="45" t="n">
        <f aca="false">Positions!H10</f>
        <v>16620</v>
      </c>
      <c r="D64" s="46" t="n">
        <f aca="false">IF(C64="","",C64/$D$18)</f>
        <v>0.04051677167629</v>
      </c>
      <c r="E64" s="42" t="s">
        <v>195</v>
      </c>
      <c r="F64" s="46" t="n">
        <f aca="false">$D$16</f>
        <v>0.1</v>
      </c>
      <c r="G64" s="42" t="str">
        <f aca="false">IF($B$51="fund","exempt",IF(D64="","",IF(D64&gt;F64,"breach","ok")))</f>
        <v>ok</v>
      </c>
      <c r="H64" s="47" t="n">
        <f aca="false">IF($B$51="fund","",IF(C64="","",C64-F64*$D$18))</f>
        <v>-24400.05</v>
      </c>
      <c r="I64" s="46" t="n">
        <f aca="false">IF(H64="","",H64/$D$18)</f>
        <v>-0.05948322832371</v>
      </c>
    </row>
    <row r="65" customFormat="false" ht="15" hidden="false" customHeight="false" outlineLevel="0" collapsed="false">
      <c r="A65" s="42" t="s">
        <v>202</v>
      </c>
      <c r="B65" s="42" t="s">
        <v>85</v>
      </c>
      <c r="C65" s="45" t="n">
        <f aca="false">Positions!H11</f>
        <v>40975</v>
      </c>
      <c r="D65" s="46" t="n">
        <f aca="false">IF(C65="","",C65/$D$18)</f>
        <v>0.0998901756580014</v>
      </c>
      <c r="E65" s="42" t="s">
        <v>195</v>
      </c>
      <c r="F65" s="46" t="n">
        <f aca="false">$D$16</f>
        <v>0.1</v>
      </c>
      <c r="G65" s="42" t="str">
        <f aca="false">IF($B$52="fund","exempt",IF(D65="","",IF(D65&gt;F65,"breach","ok")))</f>
        <v>exempt</v>
      </c>
      <c r="H65" s="47" t="str">
        <f aca="false">IF($B$52="fund","",IF(C65="","",C65-F65*$D$18))</f>
        <v/>
      </c>
      <c r="I65" s="46" t="str">
        <f aca="false">IF(H65="","",H65/$D$18)</f>
        <v/>
      </c>
    </row>
    <row r="66" customFormat="false" ht="15" hidden="false" customHeight="false" outlineLevel="0" collapsed="false">
      <c r="A66" s="42" t="s">
        <v>202</v>
      </c>
      <c r="B66" s="42" t="s">
        <v>88</v>
      </c>
      <c r="C66" s="45" t="n">
        <f aca="false">Positions!H12</f>
        <v>40278</v>
      </c>
      <c r="D66" s="46" t="n">
        <f aca="false">IF(C66="","",C66/$D$18)</f>
        <v>0.0981910065931173</v>
      </c>
      <c r="E66" s="42" t="s">
        <v>195</v>
      </c>
      <c r="F66" s="46" t="n">
        <f aca="false">$D$16</f>
        <v>0.1</v>
      </c>
      <c r="G66" s="42" t="str">
        <f aca="false">IF($B$53="fund","exempt",IF(D66="","",IF(D66&gt;F66,"breach","ok")))</f>
        <v>exempt</v>
      </c>
      <c r="H66" s="47" t="str">
        <f aca="false">IF($B$53="fund","",IF(C66="","",C66-F66*$D$18))</f>
        <v/>
      </c>
      <c r="I66" s="46" t="str">
        <f aca="false">IF(H66="","",H66/$D$18)</f>
        <v/>
      </c>
    </row>
    <row r="67" customFormat="false" ht="15" hidden="false" customHeight="false" outlineLevel="0" collapsed="false">
      <c r="A67" s="42" t="s">
        <v>202</v>
      </c>
      <c r="B67" s="42" t="s">
        <v>91</v>
      </c>
      <c r="C67" s="45" t="n">
        <f aca="false">Positions!H13</f>
        <v>28734</v>
      </c>
      <c r="D67" s="46" t="n">
        <f aca="false">IF(C67="","",C67/$D$18)</f>
        <v>0.0700486713204884</v>
      </c>
      <c r="E67" s="42" t="s">
        <v>195</v>
      </c>
      <c r="F67" s="46" t="n">
        <f aca="false">$D$16</f>
        <v>0.1</v>
      </c>
      <c r="G67" s="42" t="str">
        <f aca="false">IF($B$54="fund","exempt",IF(D67="","",IF(D67&gt;F67,"breach","ok")))</f>
        <v>exempt</v>
      </c>
      <c r="H67" s="47" t="str">
        <f aca="false">IF($B$54="fund","",IF(C67="","",C67-F67*$D$18))</f>
        <v/>
      </c>
      <c r="I67" s="46" t="str">
        <f aca="false">IF(H67="","",H67/$D$18)</f>
        <v/>
      </c>
    </row>
    <row r="69" customFormat="false" ht="15" hidden="false" customHeight="false" outlineLevel="0" collapsed="false">
      <c r="A69" s="41" t="s">
        <v>223</v>
      </c>
    </row>
    <row r="70" customFormat="false" ht="15" hidden="false" customHeight="false" outlineLevel="0" collapsed="false">
      <c r="A70" s="42" t="s">
        <v>224</v>
      </c>
    </row>
    <row r="71" customFormat="false" ht="15" hidden="false" customHeight="false" outlineLevel="0" collapsed="false">
      <c r="A71" s="43" t="s">
        <v>187</v>
      </c>
      <c r="B71" s="43" t="s">
        <v>210</v>
      </c>
      <c r="C71" s="43" t="s">
        <v>61</v>
      </c>
      <c r="D71" s="43" t="s">
        <v>211</v>
      </c>
      <c r="E71" s="43" t="s">
        <v>189</v>
      </c>
      <c r="F71" s="43" t="s">
        <v>190</v>
      </c>
      <c r="G71" s="43" t="s">
        <v>212</v>
      </c>
      <c r="H71" s="43" t="s">
        <v>213</v>
      </c>
      <c r="I71" s="43" t="s">
        <v>214</v>
      </c>
    </row>
    <row r="72" customFormat="false" ht="15" hidden="false" customHeight="false" outlineLevel="0" collapsed="false">
      <c r="A72" s="42" t="s">
        <v>204</v>
      </c>
      <c r="B72" s="42" t="s">
        <v>72</v>
      </c>
      <c r="C72" s="45" t="n">
        <f aca="false">'Alloc-Sector'!E5</f>
        <v>114674</v>
      </c>
      <c r="D72" s="46" t="n">
        <f aca="false">IF(C72="","",C72/$D$18)</f>
        <v>0.279555973237478</v>
      </c>
      <c r="E72" s="42" t="s">
        <v>195</v>
      </c>
      <c r="F72" s="46" t="n">
        <f aca="false">$D$17</f>
        <v>0.25</v>
      </c>
      <c r="G72" s="42" t="str">
        <f aca="false">IF(D72="","",IF(D72&gt;F72,"breach","ok"))</f>
        <v>breach</v>
      </c>
      <c r="H72" s="47" t="n">
        <f aca="false">IF(C72="","",C72-F72*$D$18)</f>
        <v>12123.875</v>
      </c>
      <c r="I72" s="46" t="n">
        <f aca="false">IF(H72="","",H72/$D$18)</f>
        <v>0.0295559732374778</v>
      </c>
    </row>
    <row r="73" customFormat="false" ht="15" hidden="false" customHeight="false" outlineLevel="0" collapsed="false">
      <c r="A73" s="42" t="s">
        <v>204</v>
      </c>
      <c r="B73" s="42" t="s">
        <v>77</v>
      </c>
      <c r="C73" s="45" t="n">
        <f aca="false">'Alloc-Sector'!E6</f>
        <v>41281.5</v>
      </c>
      <c r="D73" s="46" t="n">
        <f aca="false">IF(C73="","",C73/$D$18)</f>
        <v>0.100637371236749</v>
      </c>
      <c r="E73" s="42" t="s">
        <v>195</v>
      </c>
      <c r="F73" s="46" t="n">
        <f aca="false">$D$17</f>
        <v>0.25</v>
      </c>
      <c r="G73" s="42" t="str">
        <f aca="false">IF(D73="","",IF(D73&gt;F73,"breach","ok"))</f>
        <v>ok</v>
      </c>
      <c r="H73" s="47" t="n">
        <f aca="false">IF(C73="","",C73-F73*$D$18)</f>
        <v>-61268.625</v>
      </c>
      <c r="I73" s="46" t="n">
        <f aca="false">IF(H73="","",H73/$D$18)</f>
        <v>-0.149362628763251</v>
      </c>
    </row>
    <row r="74" customFormat="false" ht="15" hidden="false" customHeight="false" outlineLevel="0" collapsed="false">
      <c r="A74" s="42" t="s">
        <v>204</v>
      </c>
      <c r="B74" s="42" t="s">
        <v>80</v>
      </c>
      <c r="C74" s="45" t="n">
        <f aca="false">'Alloc-Sector'!E7</f>
        <v>35622</v>
      </c>
      <c r="D74" s="46" t="n">
        <f aca="false">IF(C74="","",C74/$D$18)</f>
        <v>0.0868404597264021</v>
      </c>
      <c r="E74" s="42" t="s">
        <v>195</v>
      </c>
      <c r="F74" s="46" t="n">
        <f aca="false">$D$17</f>
        <v>0.25</v>
      </c>
      <c r="G74" s="42" t="str">
        <f aca="false">IF(D74="","",IF(D74&gt;F74,"breach","ok"))</f>
        <v>ok</v>
      </c>
      <c r="H74" s="47" t="n">
        <f aca="false">IF(C74="","",C74-F74*$D$18)</f>
        <v>-66928.125</v>
      </c>
      <c r="I74" s="46" t="n">
        <f aca="false">IF(H74="","",H74/$D$18)</f>
        <v>-0.163159540273598</v>
      </c>
    </row>
    <row r="75" customFormat="false" ht="15" hidden="false" customHeight="false" outlineLevel="0" collapsed="false">
      <c r="A75" s="42" t="s">
        <v>204</v>
      </c>
      <c r="B75" s="42" t="s">
        <v>83</v>
      </c>
      <c r="C75" s="45" t="n">
        <f aca="false">'Alloc-Sector'!E8</f>
        <v>16620</v>
      </c>
      <c r="D75" s="46" t="n">
        <f aca="false">IF(C75="","",C75/$D$18)</f>
        <v>0.04051677167629</v>
      </c>
      <c r="E75" s="42" t="s">
        <v>195</v>
      </c>
      <c r="F75" s="46" t="n">
        <f aca="false">$D$17</f>
        <v>0.25</v>
      </c>
      <c r="G75" s="42" t="str">
        <f aca="false">IF(D75="","",IF(D75&gt;F75,"breach","ok"))</f>
        <v>ok</v>
      </c>
      <c r="H75" s="47" t="n">
        <f aca="false">IF(C75="","",C75-F75*$D$18)</f>
        <v>-85930.125</v>
      </c>
      <c r="I75" s="46" t="n">
        <f aca="false">IF(H75="","",H75/$D$18)</f>
        <v>-0.20948322832371</v>
      </c>
    </row>
    <row r="77" customFormat="false" ht="15" hidden="false" customHeight="false" outlineLevel="0" collapsed="false">
      <c r="A77" s="41" t="s">
        <v>225</v>
      </c>
    </row>
    <row r="78" customFormat="false" ht="15" hidden="false" customHeight="false" outlineLevel="0" collapsed="false">
      <c r="A78" s="43" t="s">
        <v>187</v>
      </c>
      <c r="B78" s="43" t="s">
        <v>210</v>
      </c>
      <c r="C78" s="43" t="s">
        <v>226</v>
      </c>
      <c r="D78" s="43"/>
      <c r="E78" s="43" t="s">
        <v>189</v>
      </c>
      <c r="F78" s="43" t="s">
        <v>190</v>
      </c>
      <c r="G78" s="43" t="s">
        <v>212</v>
      </c>
      <c r="H78" s="43"/>
      <c r="I78" s="43" t="s">
        <v>214</v>
      </c>
    </row>
    <row r="79" customFormat="false" ht="15" hidden="false" customHeight="false" outlineLevel="0" collapsed="false">
      <c r="A79" s="42" t="s">
        <v>200</v>
      </c>
      <c r="B79" s="42" t="s">
        <v>227</v>
      </c>
      <c r="C79" s="44" t="n">
        <v>0.15</v>
      </c>
      <c r="E79" s="42" t="s">
        <v>195</v>
      </c>
      <c r="F79" s="46" t="n">
        <f aca="false">$D$15</f>
        <v>0.12</v>
      </c>
      <c r="G79" s="42" t="str">
        <f aca="false">IF(C79&gt;F79,"refused","allowed")</f>
        <v>refused</v>
      </c>
      <c r="I79" s="46" t="n">
        <f aca="false">C79-F79</f>
        <v>0.03</v>
      </c>
    </row>
    <row r="80" customFormat="false" ht="15" hidden="false" customHeight="false" outlineLevel="0" collapsed="false">
      <c r="A80" s="42" t="s">
        <v>228</v>
      </c>
    </row>
    <row r="82" customFormat="false" ht="15" hidden="false" customHeight="false" outlineLevel="0" collapsed="false">
      <c r="A82" s="41" t="s">
        <v>229</v>
      </c>
    </row>
    <row r="83" customFormat="false" ht="15" hidden="false" customHeight="false" outlineLevel="0" collapsed="false">
      <c r="A83" s="42" t="s">
        <v>230</v>
      </c>
    </row>
    <row r="85" customFormat="false" ht="15" hidden="false" customHeight="false" outlineLevel="0" collapsed="false">
      <c r="A85" s="41" t="s">
        <v>231</v>
      </c>
    </row>
    <row r="86" customFormat="false" ht="15" hidden="false" customHeight="false" outlineLevel="0" collapsed="false">
      <c r="A86" s="42" t="s">
        <v>232</v>
      </c>
      <c r="B86" s="42" t="n">
        <f aca="false">COUNTIF(G23,"breach")+COUNTIF(G24,"breach")+COUNTIF(G25,"breach")+COUNTIF(G26,"breach")+COUNTIF(G27,"breach")+COUNTIF(G28,"breach")+COUNTIF(G29,"breach")+COUNTIF(G34,"breach")+COUNTIF(G35,"breach")+COUNTIF(G36,"breach")+COUNTIF(G37,"breach")+COUNTIF(G38,"breach")+COUNTIF(G39,"breach")+COUNTIF(G40,"breach")+COUNTIF(G41,"breach")+COUNTIF(G42,"breach")+COUNTIF(G59,"breach")+COUNTIF(G60,"breach")+COUNTIF(G61,"breach")+COUNTIF(G62,"breach")+COUNTIF(G63,"breach")+COUNTIF(G64,"breach")+COUNTIF(G65,"breach")+COUNTIF(G66,"breach")+COUNTIF(G67,"breach")+COUNTIF(G72,"breach")+COUNTIF(G73,"breach")+COUNTIF(G74,"breach")+COUNTIF(G75,"breach")</f>
        <v>8</v>
      </c>
      <c r="C86" s="42" t="s">
        <v>233</v>
      </c>
    </row>
    <row r="87" customFormat="false" ht="15" hidden="false" customHeight="false" outlineLevel="0" collapsed="false">
      <c r="A87" s="42" t="s">
        <v>234</v>
      </c>
      <c r="B87" s="42" t="n">
        <f aca="false">COUNTIF(G23,"ok")+COUNTIF(G24,"ok")+COUNTIF(G25,"ok")+COUNTIF(G26,"ok")+COUNTIF(G27,"ok")+COUNTIF(G28,"ok")+COUNTIF(G29,"ok")+COUNTIF(G34,"ok")+COUNTIF(G35,"ok")+COUNTIF(G36,"ok")+COUNTIF(G37,"ok")+COUNTIF(G38,"ok")+COUNTIF(G39,"ok")+COUNTIF(G40,"ok")+COUNTIF(G41,"ok")+COUNTIF(G42,"ok")+COUNTIF(G59,"ok")+COUNTIF(G60,"ok")+COUNTIF(G61,"ok")+COUNTIF(G62,"ok")+COUNTIF(G63,"ok")+COUNTIF(G64,"ok")+COUNTIF(G65,"ok")+COUNTIF(G66,"ok")+COUNTIF(G67,"ok")+COUNTIF(G72,"ok")+COUNTIF(G73,"ok")+COUNTIF(G74,"ok")+COUNTIF(G75,"ok")</f>
        <v>17</v>
      </c>
    </row>
    <row r="88" customFormat="false" ht="15" hidden="false" customHeight="false" outlineLevel="0" collapsed="false">
      <c r="A88" s="42" t="s">
        <v>235</v>
      </c>
      <c r="B88" s="42" t="n">
        <f aca="false">COUNTIF(G23,"exempt")+COUNTIF(G24,"exempt")+COUNTIF(G25,"exempt")+COUNTIF(G26,"exempt")+COUNTIF(G27,"exempt")+COUNTIF(G28,"exempt")+COUNTIF(G29,"exempt")+COUNTIF(G34,"exempt")+COUNTIF(G35,"exempt")+COUNTIF(G36,"exempt")+COUNTIF(G37,"exempt")+COUNTIF(G38,"exempt")+COUNTIF(G39,"exempt")+COUNTIF(G40,"exempt")+COUNTIF(G41,"exempt")+COUNTIF(G42,"exempt")+COUNTIF(G59,"exempt")+COUNTIF(G60,"exempt")+COUNTIF(G61,"exempt")+COUNTIF(G62,"exempt")+COUNTIF(G63,"exempt")+COUNTIF(G64,"exempt")+COUNTIF(G65,"exempt")+COUNTIF(G66,"exempt")+COUNTIF(G67,"exempt")+COUNTIF(G72,"exempt")+COUNTIF(G73,"exempt")+COUNTIF(G74,"exempt")+COUNTIF(G75,"exempt")</f>
        <v>4</v>
      </c>
    </row>
    <row r="89" customFormat="false" ht="15" hidden="false" customHeight="false" outlineLevel="0" collapsed="false">
      <c r="A89" s="42" t="s">
        <v>236</v>
      </c>
      <c r="B89" s="42" t="s">
        <v>237</v>
      </c>
    </row>
    <row r="91" customFormat="false" ht="15" hidden="false" customHeight="false" outlineLevel="0" collapsed="false">
      <c r="A91" s="42" t="s">
        <v>238</v>
      </c>
      <c r="B91" s="49"/>
      <c r="C91" s="42" t="s">
        <v>239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2026-09-03T16:22:50Z</dcterms:created>
  <dc:creator>openpyxl</dc:creator>
  <dc:description/>
  <dc:language>en-US</dc:language>
  <cp:lastModifiedBy>Sengül, Fatih</cp:lastModifiedBy>
  <dcterms:modified xsi:type="dcterms:W3CDTF">2026-09-07T22:36:54Z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